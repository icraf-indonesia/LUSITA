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crafcifor-my.sharepoint.com/personal/d_bodro_cifor-icraf_org/Documents/dw/project R/theme 2/lusita/shiny/data/Consultant/vina-20220302T101513Z-001/vina/2012_Sulsel_cleaned/"/>
    </mc:Choice>
  </mc:AlternateContent>
  <xr:revisionPtr revIDLastSave="17" documentId="11_4F215B313143B494732CB1F3B994BE07A8E01898" xr6:coauthVersionLast="47" xr6:coauthVersionMax="47" xr10:uidLastSave="{30517536-3A64-4DB7-A902-DB5CFE8A4562}"/>
  <bookViews>
    <workbookView xWindow="-120" yWindow="-120" windowWidth="29040" windowHeight="15720" tabRatio="783" activeTab="2" xr2:uid="{00000000-000D-0000-FFFF-FFFF00000000}"/>
  </bookViews>
  <sheets>
    <sheet name="Summary" sheetId="14" r:id="rId1"/>
    <sheet name="IO" sheetId="1" r:id="rId2"/>
    <sheet name="Prices" sheetId="4" r:id="rId3"/>
    <sheet name="PB" sheetId="5" r:id="rId4"/>
  </sheets>
  <definedNames>
    <definedName name="nilai_tukar">Summary!$D$9</definedName>
    <definedName name="rate_private">Summary!$D$7</definedName>
    <definedName name="rate_social">Summary!$D$8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0" i="5" l="1"/>
  <c r="L48" i="5"/>
  <c r="L49" i="5"/>
  <c r="L51" i="5"/>
  <c r="L15" i="5"/>
  <c r="L16" i="5"/>
  <c r="L19" i="5"/>
  <c r="L20" i="5"/>
  <c r="L21" i="5"/>
  <c r="L24" i="5"/>
  <c r="L25" i="5"/>
  <c r="L26" i="5"/>
  <c r="L27" i="5"/>
  <c r="L30" i="5"/>
  <c r="L50" i="1"/>
  <c r="L43" i="1" s="1"/>
  <c r="L55" i="1" s="1"/>
  <c r="E39" i="1"/>
  <c r="F39" i="1"/>
  <c r="G39" i="1"/>
  <c r="H39" i="1"/>
  <c r="I39" i="1"/>
  <c r="J39" i="1"/>
  <c r="K39" i="1"/>
  <c r="L39" i="1"/>
  <c r="L50" i="5" l="1"/>
  <c r="L55" i="5" s="1"/>
  <c r="I51" i="5"/>
  <c r="E51" i="5"/>
  <c r="F51" i="5"/>
  <c r="G51" i="5"/>
  <c r="H51" i="5"/>
  <c r="J51" i="5"/>
  <c r="K51" i="5"/>
  <c r="D51" i="5"/>
  <c r="E15" i="1" l="1"/>
  <c r="F15" i="1"/>
  <c r="D15" i="1"/>
  <c r="E40" i="1"/>
  <c r="F40" i="1"/>
  <c r="D40" i="1"/>
  <c r="D39" i="1"/>
  <c r="K49" i="1"/>
  <c r="E9" i="4"/>
  <c r="L9" i="5" s="1"/>
  <c r="E10" i="4"/>
  <c r="E11" i="4"/>
  <c r="L11" i="5" s="1"/>
  <c r="E12" i="4"/>
  <c r="D12" i="5" s="1"/>
  <c r="E32" i="1"/>
  <c r="F32" i="1"/>
  <c r="E33" i="1"/>
  <c r="F33" i="1"/>
  <c r="E34" i="1"/>
  <c r="F34" i="1"/>
  <c r="E35" i="1"/>
  <c r="F35" i="1"/>
  <c r="E36" i="1"/>
  <c r="F36" i="1"/>
  <c r="E37" i="1"/>
  <c r="F37" i="1"/>
  <c r="D37" i="1"/>
  <c r="D36" i="1"/>
  <c r="D35" i="1"/>
  <c r="D34" i="1"/>
  <c r="D33" i="1"/>
  <c r="D32" i="1"/>
  <c r="E19" i="1"/>
  <c r="E19" i="5" s="1"/>
  <c r="F19" i="1"/>
  <c r="F19" i="5" s="1"/>
  <c r="F15" i="5"/>
  <c r="E16" i="1"/>
  <c r="F16" i="1"/>
  <c r="E8" i="1"/>
  <c r="F8" i="1"/>
  <c r="D16" i="1"/>
  <c r="D15" i="5"/>
  <c r="D8" i="1"/>
  <c r="D19" i="1"/>
  <c r="E48" i="1"/>
  <c r="F48" i="1"/>
  <c r="D48" i="1"/>
  <c r="D24" i="1" s="1"/>
  <c r="E50" i="5"/>
  <c r="F50" i="5"/>
  <c r="G50" i="5"/>
  <c r="H50" i="5"/>
  <c r="I50" i="5"/>
  <c r="J50" i="5"/>
  <c r="D50" i="5"/>
  <c r="E49" i="5"/>
  <c r="F49" i="5"/>
  <c r="G49" i="5"/>
  <c r="H49" i="5"/>
  <c r="I49" i="5"/>
  <c r="J49" i="5"/>
  <c r="D49" i="5"/>
  <c r="E48" i="5"/>
  <c r="G48" i="5"/>
  <c r="H48" i="5"/>
  <c r="I48" i="5"/>
  <c r="J48" i="5"/>
  <c r="J55" i="5" s="1"/>
  <c r="K48" i="5"/>
  <c r="E24" i="1"/>
  <c r="E9" i="5"/>
  <c r="F9" i="5"/>
  <c r="G9" i="5"/>
  <c r="H9" i="5"/>
  <c r="I9" i="5"/>
  <c r="J9" i="5"/>
  <c r="K9" i="5"/>
  <c r="F10" i="5"/>
  <c r="H10" i="5"/>
  <c r="J10" i="5"/>
  <c r="E11" i="5"/>
  <c r="F11" i="5"/>
  <c r="G11" i="5"/>
  <c r="H11" i="5"/>
  <c r="I11" i="5"/>
  <c r="J11" i="5"/>
  <c r="K11" i="5"/>
  <c r="F12" i="5"/>
  <c r="E15" i="5"/>
  <c r="G15" i="5"/>
  <c r="H15" i="5"/>
  <c r="I15" i="5"/>
  <c r="J15" i="5"/>
  <c r="K15" i="5"/>
  <c r="E16" i="5"/>
  <c r="F16" i="5"/>
  <c r="G16" i="5"/>
  <c r="H16" i="5"/>
  <c r="I16" i="5"/>
  <c r="J16" i="5"/>
  <c r="K16" i="5"/>
  <c r="G19" i="5"/>
  <c r="H19" i="5"/>
  <c r="I19" i="5"/>
  <c r="J19" i="5"/>
  <c r="K19" i="5"/>
  <c r="E20" i="5"/>
  <c r="F20" i="5"/>
  <c r="G20" i="5"/>
  <c r="H20" i="5"/>
  <c r="I20" i="5"/>
  <c r="J20" i="5"/>
  <c r="K20" i="5"/>
  <c r="E21" i="5"/>
  <c r="F21" i="5"/>
  <c r="G21" i="5"/>
  <c r="H21" i="5"/>
  <c r="I21" i="5"/>
  <c r="J21" i="5"/>
  <c r="K21" i="5"/>
  <c r="E24" i="5"/>
  <c r="G24" i="5"/>
  <c r="H24" i="5"/>
  <c r="I24" i="5"/>
  <c r="J24" i="5"/>
  <c r="K24" i="5"/>
  <c r="E25" i="5"/>
  <c r="F25" i="5"/>
  <c r="G25" i="5"/>
  <c r="H25" i="5"/>
  <c r="I25" i="5"/>
  <c r="J25" i="5"/>
  <c r="K25" i="5"/>
  <c r="E26" i="5"/>
  <c r="F26" i="5"/>
  <c r="G26" i="5"/>
  <c r="H26" i="5"/>
  <c r="I26" i="5"/>
  <c r="J26" i="5"/>
  <c r="K26" i="5"/>
  <c r="E27" i="5"/>
  <c r="F27" i="5"/>
  <c r="G27" i="5"/>
  <c r="H27" i="5"/>
  <c r="I27" i="5"/>
  <c r="J27" i="5"/>
  <c r="K27" i="5"/>
  <c r="E30" i="5"/>
  <c r="F30" i="5"/>
  <c r="G30" i="5"/>
  <c r="H30" i="5"/>
  <c r="I30" i="5"/>
  <c r="J30" i="5"/>
  <c r="K30" i="5"/>
  <c r="D30" i="5"/>
  <c r="D27" i="5"/>
  <c r="D26" i="5"/>
  <c r="D25" i="5"/>
  <c r="D21" i="5"/>
  <c r="D20" i="5"/>
  <c r="D19" i="5"/>
  <c r="D16" i="5"/>
  <c r="D11" i="5"/>
  <c r="D10" i="5"/>
  <c r="D9" i="5"/>
  <c r="E32" i="4"/>
  <c r="E33" i="4"/>
  <c r="E34" i="4"/>
  <c r="E35" i="4"/>
  <c r="E36" i="4"/>
  <c r="E37" i="4"/>
  <c r="E39" i="4"/>
  <c r="E40" i="4"/>
  <c r="E41" i="4"/>
  <c r="E42" i="4"/>
  <c r="E43" i="4"/>
  <c r="J12" i="5" l="1"/>
  <c r="I55" i="5"/>
  <c r="H12" i="5"/>
  <c r="H55" i="5"/>
  <c r="E55" i="5"/>
  <c r="K55" i="5"/>
  <c r="G55" i="5"/>
  <c r="D48" i="5"/>
  <c r="K49" i="5"/>
  <c r="K43" i="1"/>
  <c r="E12" i="5"/>
  <c r="L12" i="5"/>
  <c r="E10" i="5"/>
  <c r="L10" i="5"/>
  <c r="E42" i="5"/>
  <c r="L42" i="5"/>
  <c r="E40" i="5"/>
  <c r="L40" i="5"/>
  <c r="E37" i="5"/>
  <c r="L37" i="5"/>
  <c r="E33" i="5"/>
  <c r="L33" i="5"/>
  <c r="F43" i="5"/>
  <c r="L43" i="5"/>
  <c r="F41" i="5"/>
  <c r="L41" i="5"/>
  <c r="F39" i="5"/>
  <c r="L39" i="5"/>
  <c r="F36" i="5"/>
  <c r="L36" i="5"/>
  <c r="F34" i="5"/>
  <c r="L34" i="5"/>
  <c r="F32" i="5"/>
  <c r="L32" i="5"/>
  <c r="E35" i="5"/>
  <c r="L35" i="5"/>
  <c r="K12" i="5"/>
  <c r="I12" i="5"/>
  <c r="G12" i="5"/>
  <c r="K10" i="5"/>
  <c r="I10" i="5"/>
  <c r="G10" i="5"/>
  <c r="F24" i="1"/>
  <c r="F48" i="5"/>
  <c r="F55" i="5" s="1"/>
  <c r="D24" i="5"/>
  <c r="D32" i="5"/>
  <c r="D34" i="5"/>
  <c r="D36" i="5"/>
  <c r="D39" i="5"/>
  <c r="D41" i="5"/>
  <c r="D43" i="5"/>
  <c r="D33" i="5"/>
  <c r="D35" i="5"/>
  <c r="D37" i="5"/>
  <c r="D40" i="5"/>
  <c r="D42" i="5"/>
  <c r="I43" i="5"/>
  <c r="G43" i="5"/>
  <c r="E43" i="5"/>
  <c r="J42" i="5"/>
  <c r="H42" i="5"/>
  <c r="F42" i="5"/>
  <c r="K41" i="5"/>
  <c r="I41" i="5"/>
  <c r="G41" i="5"/>
  <c r="E41" i="5"/>
  <c r="J40" i="5"/>
  <c r="H40" i="5"/>
  <c r="F40" i="5"/>
  <c r="K39" i="5"/>
  <c r="I39" i="5"/>
  <c r="G39" i="5"/>
  <c r="E39" i="5"/>
  <c r="J37" i="5"/>
  <c r="H37" i="5"/>
  <c r="F37" i="5"/>
  <c r="K36" i="5"/>
  <c r="I36" i="5"/>
  <c r="G36" i="5"/>
  <c r="E36" i="5"/>
  <c r="J35" i="5"/>
  <c r="H35" i="5"/>
  <c r="F35" i="5"/>
  <c r="K34" i="5"/>
  <c r="I34" i="5"/>
  <c r="G34" i="5"/>
  <c r="E34" i="5"/>
  <c r="J33" i="5"/>
  <c r="H33" i="5"/>
  <c r="F33" i="5"/>
  <c r="K32" i="5"/>
  <c r="I32" i="5"/>
  <c r="G32" i="5"/>
  <c r="E32" i="5"/>
  <c r="J43" i="5"/>
  <c r="H43" i="5"/>
  <c r="K42" i="5"/>
  <c r="I42" i="5"/>
  <c r="G42" i="5"/>
  <c r="J41" i="5"/>
  <c r="H41" i="5"/>
  <c r="K40" i="5"/>
  <c r="I40" i="5"/>
  <c r="G40" i="5"/>
  <c r="J39" i="5"/>
  <c r="H39" i="5"/>
  <c r="K37" i="5"/>
  <c r="I37" i="5"/>
  <c r="G37" i="5"/>
  <c r="J36" i="5"/>
  <c r="H36" i="5"/>
  <c r="K35" i="5"/>
  <c r="I35" i="5"/>
  <c r="G35" i="5"/>
  <c r="J34" i="5"/>
  <c r="H34" i="5"/>
  <c r="K33" i="5"/>
  <c r="I33" i="5"/>
  <c r="G33" i="5"/>
  <c r="J32" i="5"/>
  <c r="H32" i="5"/>
  <c r="K43" i="5" l="1"/>
  <c r="F24" i="5"/>
  <c r="E8" i="4" l="1"/>
  <c r="L8" i="5" l="1"/>
  <c r="F8" i="5"/>
  <c r="H8" i="5"/>
  <c r="J8" i="5"/>
  <c r="D8" i="5"/>
  <c r="E8" i="5"/>
  <c r="G8" i="5"/>
  <c r="I8" i="5"/>
  <c r="K8" i="5"/>
  <c r="H11" i="14" l="1"/>
  <c r="E55" i="1" l="1"/>
  <c r="F55" i="1"/>
  <c r="G55" i="1"/>
  <c r="H55" i="1"/>
  <c r="I55" i="1"/>
  <c r="J55" i="1"/>
  <c r="K55" i="1"/>
  <c r="D55" i="1" l="1"/>
  <c r="D57" i="1" s="1"/>
  <c r="H16" i="14" s="1"/>
  <c r="D56" i="1" l="1"/>
  <c r="H15" i="14" s="1"/>
  <c r="E31" i="4"/>
  <c r="L31" i="5" s="1"/>
  <c r="L46" i="5" s="1"/>
  <c r="L56" i="5" s="1"/>
  <c r="E31" i="5" l="1"/>
  <c r="E46" i="5" s="1"/>
  <c r="E56" i="5" s="1"/>
  <c r="G31" i="5"/>
  <c r="G46" i="5" s="1"/>
  <c r="G56" i="5" s="1"/>
  <c r="I31" i="5"/>
  <c r="I46" i="5" s="1"/>
  <c r="I56" i="5" s="1"/>
  <c r="K31" i="5"/>
  <c r="K46" i="5" s="1"/>
  <c r="K56" i="5" s="1"/>
  <c r="F31" i="5"/>
  <c r="F46" i="5" s="1"/>
  <c r="F56" i="5" s="1"/>
  <c r="H31" i="5"/>
  <c r="H46" i="5" s="1"/>
  <c r="H56" i="5" s="1"/>
  <c r="J31" i="5"/>
  <c r="J46" i="5" s="1"/>
  <c r="J56" i="5" s="1"/>
  <c r="D31" i="5"/>
  <c r="C2" i="4"/>
  <c r="B2" i="5" s="1"/>
  <c r="D55" i="5" l="1"/>
  <c r="D46" i="5" l="1"/>
  <c r="C62" i="5"/>
  <c r="C61" i="5" l="1"/>
  <c r="C63" i="5" s="1"/>
  <c r="D56" i="5"/>
  <c r="C58" i="5" s="1"/>
  <c r="D62" i="5" l="1"/>
  <c r="C60" i="5"/>
  <c r="G8" i="14" l="1"/>
  <c r="H8" i="14" s="1"/>
  <c r="C59" i="5"/>
  <c r="I8" i="14" l="1"/>
</calcChain>
</file>

<file path=xl/sharedStrings.xml><?xml version="1.0" encoding="utf-8"?>
<sst xmlns="http://schemas.openxmlformats.org/spreadsheetml/2006/main" count="291" uniqueCount="111">
  <si>
    <t>Unit</t>
  </si>
  <si>
    <t>unit</t>
  </si>
  <si>
    <t>kg</t>
  </si>
  <si>
    <t>INPUTS</t>
  </si>
  <si>
    <t>Rp/kg</t>
  </si>
  <si>
    <t>Rp/unit</t>
  </si>
  <si>
    <t>Rupiah</t>
  </si>
  <si>
    <t>Urea</t>
  </si>
  <si>
    <t>Upah buruh</t>
  </si>
  <si>
    <t>Nilai tukar rupiah</t>
  </si>
  <si>
    <t>Discount rate</t>
  </si>
  <si>
    <t>Privat</t>
  </si>
  <si>
    <t>Rp/US$</t>
  </si>
  <si>
    <t>%</t>
  </si>
  <si>
    <t>Sistem</t>
  </si>
  <si>
    <t>Lokasi</t>
  </si>
  <si>
    <t>Table Input/Output</t>
  </si>
  <si>
    <t>Rp/HOK</t>
  </si>
  <si>
    <t>Tabel Harga</t>
  </si>
  <si>
    <t>Farm budget Privat</t>
  </si>
  <si>
    <t xml:space="preserve">Profit  </t>
  </si>
  <si>
    <t>Total Biaya</t>
  </si>
  <si>
    <t>Total Penerimaan</t>
  </si>
  <si>
    <t>INPUT</t>
  </si>
  <si>
    <t>OUTPUT</t>
  </si>
  <si>
    <t>NPV</t>
  </si>
  <si>
    <t>Pupuk</t>
  </si>
  <si>
    <t>Bahan Kimia</t>
  </si>
  <si>
    <t>Harga Privat</t>
  </si>
  <si>
    <t>Bahan Tanam</t>
  </si>
  <si>
    <t>Peralatan</t>
  </si>
  <si>
    <t>Tenaga Kerja</t>
  </si>
  <si>
    <t>Cangkul</t>
  </si>
  <si>
    <t>Parang</t>
  </si>
  <si>
    <t>HOK</t>
  </si>
  <si>
    <t>$/ha</t>
  </si>
  <si>
    <t>Result</t>
  </si>
  <si>
    <t>Catatan</t>
  </si>
  <si>
    <t>Komponen I/O</t>
  </si>
  <si>
    <t>Rp/ha</t>
  </si>
  <si>
    <t>Penyiangan</t>
  </si>
  <si>
    <t>Penanaman</t>
  </si>
  <si>
    <t>Pemanenan</t>
  </si>
  <si>
    <t>Panen</t>
  </si>
  <si>
    <t>Tanam</t>
  </si>
  <si>
    <t>Persiapan Lahan</t>
  </si>
  <si>
    <t>Total Labor</t>
  </si>
  <si>
    <t>ps-day/ha</t>
  </si>
  <si>
    <t>Labor Subtotal</t>
  </si>
  <si>
    <t>IRR in 11% guess interest rate =</t>
  </si>
  <si>
    <t xml:space="preserve">Total Cost </t>
  </si>
  <si>
    <t>Labor cost</t>
  </si>
  <si>
    <t>Non labor</t>
  </si>
  <si>
    <t>Return to Labor</t>
  </si>
  <si>
    <t>t-1</t>
  </si>
  <si>
    <t>t-2</t>
  </si>
  <si>
    <t>t-3</t>
  </si>
  <si>
    <t>t-4</t>
  </si>
  <si>
    <t>t-5</t>
  </si>
  <si>
    <t>t-6</t>
  </si>
  <si>
    <t>t-7</t>
  </si>
  <si>
    <t>t-8</t>
  </si>
  <si>
    <t>Luas pengelolaan</t>
  </si>
  <si>
    <t>Spraying</t>
  </si>
  <si>
    <t>Sprayer</t>
  </si>
  <si>
    <t>Rp/hok</t>
  </si>
  <si>
    <t>$/psday</t>
  </si>
  <si>
    <t>Karung</t>
  </si>
  <si>
    <t>Timber garden</t>
  </si>
  <si>
    <t>Sengon with gmelina</t>
  </si>
  <si>
    <t>Karassin, Bulukumba</t>
  </si>
  <si>
    <t>1 ha</t>
  </si>
  <si>
    <t>Harga pohon sengon berdiri (Rp/btg)</t>
  </si>
  <si>
    <t>Harga pohon gmelina berdiri (Rp/btg)</t>
  </si>
  <si>
    <t>Harga Jagung (Rp/kg)</t>
  </si>
  <si>
    <t>Jagung</t>
  </si>
  <si>
    <t>Kayu sengon</t>
  </si>
  <si>
    <t>Kayu gmelina</t>
  </si>
  <si>
    <t>btg</t>
  </si>
  <si>
    <t>Timbergarden</t>
  </si>
  <si>
    <t>ZA</t>
  </si>
  <si>
    <t>KCL</t>
  </si>
  <si>
    <t>TSP</t>
  </si>
  <si>
    <t>Sengon</t>
  </si>
  <si>
    <t>Gramaxon</t>
  </si>
  <si>
    <t>Supreme</t>
  </si>
  <si>
    <t>lt</t>
  </si>
  <si>
    <t>Gmelina</t>
  </si>
  <si>
    <t>Pipil</t>
  </si>
  <si>
    <t>Jemur</t>
  </si>
  <si>
    <t>Sengon &amp; Gmelina</t>
  </si>
  <si>
    <t>Penjarangan I</t>
  </si>
  <si>
    <t>Penjarangan II</t>
  </si>
  <si>
    <t>Rp/lt</t>
  </si>
  <si>
    <t>Rp/btg</t>
  </si>
  <si>
    <t>Avg</t>
  </si>
  <si>
    <t>ps-day/ha/yr</t>
  </si>
  <si>
    <t>Labor requirement</t>
  </si>
  <si>
    <t>Total</t>
  </si>
  <si>
    <t>Average</t>
  </si>
  <si>
    <t>$/ha (annual)</t>
  </si>
  <si>
    <t>Period of estimation</t>
  </si>
  <si>
    <t>year</t>
  </si>
  <si>
    <t>cek umur panen, dan porsi pemanenan --&gt; budidaya gmelina</t>
  </si>
  <si>
    <t>Kayu bakar</t>
  </si>
  <si>
    <t>m3</t>
  </si>
  <si>
    <t>Kayu Bakar</t>
  </si>
  <si>
    <t>Rp/m3</t>
  </si>
  <si>
    <t>t-9</t>
  </si>
  <si>
    <t>Gmelina, sengon</t>
  </si>
  <si>
    <t>Sengon ditanam dahulu, baru gmelina ditanam setahun kemudian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</si>
</sst>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#,##0.0"/>
    <numFmt numFmtId="166" formatCode="0.000"/>
    <numFmt numFmtId="167" formatCode="0.0"/>
    <numFmt numFmtId="169" formatCode="0.000%"/>
  </numFmts>
  <fonts count="2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sz val="1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Segoe UI"/>
      <family val="2"/>
    </font>
    <font>
      <sz val="11"/>
      <name val="Segoe UI"/>
      <family val="2"/>
    </font>
    <font>
      <b/>
      <sz val="11"/>
      <name val="Segoe UI"/>
      <family val="2"/>
    </font>
    <font>
      <b/>
      <sz val="11"/>
      <color theme="0"/>
      <name val="Segoe UI"/>
      <family val="2"/>
    </font>
    <font>
      <sz val="11"/>
      <color theme="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i/>
      <sz val="9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08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38" fontId="4" fillId="0" borderId="0" xfId="0" applyNumberFormat="1" applyFont="1"/>
    <xf numFmtId="1" fontId="4" fillId="0" borderId="0" xfId="0" applyNumberFormat="1" applyFont="1"/>
    <xf numFmtId="3" fontId="4" fillId="0" borderId="0" xfId="0" applyNumberFormat="1" applyFont="1"/>
    <xf numFmtId="3" fontId="4" fillId="0" borderId="1" xfId="0" applyNumberFormat="1" applyFont="1" applyBorder="1" applyAlignment="1">
      <alignment horizontal="right"/>
    </xf>
    <xf numFmtId="38" fontId="4" fillId="0" borderId="1" xfId="0" applyNumberFormat="1" applyFont="1" applyBorder="1" applyAlignment="1">
      <alignment horizontal="right"/>
    </xf>
    <xf numFmtId="38" fontId="5" fillId="0" borderId="1" xfId="0" applyNumberFormat="1" applyFont="1" applyBorder="1" applyAlignment="1">
      <alignment horizontal="right"/>
    </xf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3" fontId="4" fillId="0" borderId="1" xfId="0" applyNumberFormat="1" applyFont="1" applyBorder="1"/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38" fontId="5" fillId="0" borderId="1" xfId="0" applyNumberFormat="1" applyFont="1" applyBorder="1" applyAlignment="1">
      <alignment horizontal="right" vertical="center"/>
    </xf>
    <xf numFmtId="38" fontId="5" fillId="0" borderId="0" xfId="0" applyNumberFormat="1" applyFont="1" applyAlignment="1">
      <alignment vertical="center"/>
    </xf>
    <xf numFmtId="3" fontId="5" fillId="0" borderId="0" xfId="0" applyNumberFormat="1" applyFont="1" applyAlignment="1">
      <alignment vertical="center"/>
    </xf>
    <xf numFmtId="3" fontId="4" fillId="0" borderId="0" xfId="0" applyNumberFormat="1" applyFont="1" applyAlignment="1">
      <alignment vertical="center"/>
    </xf>
    <xf numFmtId="3" fontId="4" fillId="0" borderId="0" xfId="0" applyNumberFormat="1" applyFont="1" applyAlignment="1">
      <alignment horizontal="center"/>
    </xf>
    <xf numFmtId="0" fontId="8" fillId="2" borderId="1" xfId="0" applyFont="1" applyFill="1" applyBorder="1"/>
    <xf numFmtId="0" fontId="8" fillId="2" borderId="1" xfId="0" applyFont="1" applyFill="1" applyBorder="1" applyAlignment="1">
      <alignment horizontal="center"/>
    </xf>
    <xf numFmtId="3" fontId="8" fillId="2" borderId="1" xfId="0" applyNumberFormat="1" applyFont="1" applyFill="1" applyBorder="1"/>
    <xf numFmtId="0" fontId="7" fillId="2" borderId="1" xfId="0" applyFont="1" applyFill="1" applyBorder="1"/>
    <xf numFmtId="0" fontId="4" fillId="0" borderId="1" xfId="0" applyFont="1" applyBorder="1" applyAlignment="1">
      <alignment horizontal="left" indent="1"/>
    </xf>
    <xf numFmtId="3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3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3" fontId="7" fillId="2" borderId="1" xfId="0" applyNumberFormat="1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/>
    </xf>
    <xf numFmtId="164" fontId="4" fillId="0" borderId="0" xfId="5" applyNumberFormat="1" applyFont="1" applyAlignment="1">
      <alignment horizontal="center"/>
    </xf>
    <xf numFmtId="0" fontId="4" fillId="0" borderId="1" xfId="0" applyFont="1" applyBorder="1"/>
    <xf numFmtId="0" fontId="6" fillId="3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3" fontId="4" fillId="3" borderId="0" xfId="0" applyNumberFormat="1" applyFont="1" applyFill="1"/>
    <xf numFmtId="0" fontId="4" fillId="3" borderId="0" xfId="0" applyFont="1" applyFill="1"/>
    <xf numFmtId="3" fontId="4" fillId="3" borderId="0" xfId="0" applyNumberFormat="1" applyFont="1" applyFill="1" applyAlignment="1">
      <alignment horizontal="right"/>
    </xf>
    <xf numFmtId="3" fontId="4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left"/>
    </xf>
    <xf numFmtId="3" fontId="9" fillId="3" borderId="0" xfId="0" applyNumberFormat="1" applyFont="1" applyFill="1" applyAlignment="1">
      <alignment horizontal="center"/>
    </xf>
    <xf numFmtId="0" fontId="9" fillId="3" borderId="0" xfId="0" applyFont="1" applyFill="1" applyAlignment="1">
      <alignment horizontal="center"/>
    </xf>
    <xf numFmtId="3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right"/>
    </xf>
    <xf numFmtId="0" fontId="11" fillId="0" borderId="1" xfId="0" applyFont="1" applyBorder="1"/>
    <xf numFmtId="0" fontId="4" fillId="3" borderId="1" xfId="0" applyFont="1" applyFill="1" applyBorder="1" applyAlignment="1">
      <alignment horizontal="center"/>
    </xf>
    <xf numFmtId="3" fontId="4" fillId="3" borderId="1" xfId="0" applyNumberFormat="1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3" fontId="10" fillId="0" borderId="1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10" fillId="0" borderId="1" xfId="0" applyFont="1" applyBorder="1" applyAlignment="1">
      <alignment horizontal="left" indent="2"/>
    </xf>
    <xf numFmtId="0" fontId="10" fillId="0" borderId="0" xfId="0" applyFont="1" applyAlignment="1">
      <alignment horizontal="left"/>
    </xf>
    <xf numFmtId="0" fontId="10" fillId="0" borderId="0" xfId="0" applyFont="1"/>
    <xf numFmtId="3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2" applyFont="1"/>
    <xf numFmtId="9" fontId="4" fillId="0" borderId="0" xfId="0" applyNumberFormat="1" applyFont="1"/>
    <xf numFmtId="164" fontId="4" fillId="0" borderId="0" xfId="5" applyNumberFormat="1" applyFont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 indent="1"/>
    </xf>
    <xf numFmtId="164" fontId="4" fillId="0" borderId="0" xfId="0" applyNumberFormat="1" applyFont="1"/>
    <xf numFmtId="3" fontId="12" fillId="0" borderId="1" xfId="0" applyNumberFormat="1" applyFont="1" applyBorder="1" applyAlignment="1">
      <alignment horizontal="center"/>
    </xf>
    <xf numFmtId="9" fontId="4" fillId="0" borderId="0" xfId="1" applyFont="1"/>
    <xf numFmtId="0" fontId="10" fillId="0" borderId="0" xfId="0" applyFont="1" applyAlignment="1">
      <alignment horizontal="left" indent="2"/>
    </xf>
    <xf numFmtId="166" fontId="10" fillId="0" borderId="0" xfId="0" applyNumberFormat="1" applyFont="1" applyAlignment="1">
      <alignment horizontal="center"/>
    </xf>
    <xf numFmtId="0" fontId="10" fillId="0" borderId="1" xfId="0" applyFont="1" applyBorder="1" applyAlignment="1">
      <alignment horizontal="left" indent="1"/>
    </xf>
    <xf numFmtId="0" fontId="13" fillId="3" borderId="0" xfId="2" applyFont="1" applyFill="1"/>
    <xf numFmtId="0" fontId="14" fillId="3" borderId="0" xfId="2" applyFont="1" applyFill="1"/>
    <xf numFmtId="0" fontId="15" fillId="4" borderId="0" xfId="2" applyFont="1" applyFill="1"/>
    <xf numFmtId="0" fontId="14" fillId="4" borderId="0" xfId="2" applyFont="1" applyFill="1"/>
    <xf numFmtId="0" fontId="16" fillId="2" borderId="0" xfId="2" applyFont="1" applyFill="1"/>
    <xf numFmtId="164" fontId="17" fillId="2" borderId="0" xfId="3" applyNumberFormat="1" applyFont="1" applyFill="1" applyBorder="1" applyAlignment="1">
      <alignment horizontal="center"/>
    </xf>
    <xf numFmtId="0" fontId="17" fillId="2" borderId="0" xfId="2" applyFont="1" applyFill="1" applyAlignment="1">
      <alignment horizontal="center"/>
    </xf>
    <xf numFmtId="0" fontId="14" fillId="3" borderId="0" xfId="2" applyFont="1" applyFill="1" applyAlignment="1">
      <alignment horizontal="center"/>
    </xf>
    <xf numFmtId="0" fontId="15" fillId="5" borderId="0" xfId="2" applyFont="1" applyFill="1" applyAlignment="1">
      <alignment horizontal="left"/>
    </xf>
    <xf numFmtId="0" fontId="15" fillId="5" borderId="0" xfId="2" applyFont="1" applyFill="1" applyAlignment="1">
      <alignment horizontal="right"/>
    </xf>
    <xf numFmtId="0" fontId="14" fillId="4" borderId="0" xfId="2" applyFont="1" applyFill="1" applyAlignment="1">
      <alignment horizontal="left" indent="1"/>
    </xf>
    <xf numFmtId="38" fontId="15" fillId="5" borderId="0" xfId="0" applyNumberFormat="1" applyFont="1" applyFill="1"/>
    <xf numFmtId="0" fontId="18" fillId="4" borderId="0" xfId="2" applyFont="1" applyFill="1" applyAlignment="1">
      <alignment horizontal="left" indent="1"/>
    </xf>
    <xf numFmtId="164" fontId="18" fillId="4" borderId="0" xfId="5" applyNumberFormat="1" applyFont="1" applyFill="1"/>
    <xf numFmtId="0" fontId="19" fillId="3" borderId="0" xfId="2" applyFont="1" applyFill="1"/>
    <xf numFmtId="0" fontId="18" fillId="3" borderId="0" xfId="2" applyFont="1" applyFill="1" applyAlignment="1">
      <alignment horizontal="left" indent="1"/>
    </xf>
    <xf numFmtId="164" fontId="18" fillId="3" borderId="0" xfId="5" applyNumberFormat="1" applyFont="1" applyFill="1"/>
    <xf numFmtId="0" fontId="18" fillId="3" borderId="0" xfId="2" applyFont="1" applyFill="1" applyAlignment="1">
      <alignment horizontal="right"/>
    </xf>
    <xf numFmtId="43" fontId="18" fillId="3" borderId="0" xfId="3" applyFont="1" applyFill="1"/>
    <xf numFmtId="0" fontId="18" fillId="3" borderId="0" xfId="2" applyFont="1" applyFill="1"/>
    <xf numFmtId="0" fontId="15" fillId="3" borderId="0" xfId="2" applyFont="1" applyFill="1"/>
    <xf numFmtId="0" fontId="20" fillId="3" borderId="0" xfId="2" applyFont="1" applyFill="1"/>
    <xf numFmtId="0" fontId="20" fillId="3" borderId="0" xfId="2" applyFont="1" applyFill="1" applyAlignment="1">
      <alignment horizontal="center"/>
    </xf>
    <xf numFmtId="38" fontId="18" fillId="4" borderId="0" xfId="2" applyNumberFormat="1" applyFont="1" applyFill="1" applyAlignment="1">
      <alignment horizontal="right"/>
    </xf>
    <xf numFmtId="164" fontId="18" fillId="4" borderId="0" xfId="5" applyNumberFormat="1" applyFont="1" applyFill="1" applyBorder="1" applyAlignment="1">
      <alignment horizontal="right"/>
    </xf>
    <xf numFmtId="0" fontId="18" fillId="4" borderId="0" xfId="2" applyFont="1" applyFill="1"/>
    <xf numFmtId="164" fontId="18" fillId="4" borderId="0" xfId="5" applyNumberFormat="1" applyFont="1" applyFill="1" applyAlignment="1">
      <alignment horizontal="left" indent="1"/>
    </xf>
    <xf numFmtId="0" fontId="14" fillId="3" borderId="0" xfId="2" applyFont="1" applyFill="1" applyAlignment="1">
      <alignment horizontal="right"/>
    </xf>
    <xf numFmtId="3" fontId="14" fillId="3" borderId="0" xfId="2" applyNumberFormat="1" applyFont="1" applyFill="1"/>
    <xf numFmtId="0" fontId="14" fillId="3" borderId="6" xfId="2" applyFont="1" applyFill="1" applyBorder="1"/>
    <xf numFmtId="167" fontId="10" fillId="0" borderId="1" xfId="0" applyNumberFormat="1" applyFont="1" applyBorder="1" applyAlignment="1">
      <alignment horizontal="center"/>
    </xf>
    <xf numFmtId="3" fontId="4" fillId="3" borderId="1" xfId="0" applyNumberFormat="1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 wrapText="1"/>
    </xf>
    <xf numFmtId="169" fontId="18" fillId="4" borderId="0" xfId="1" applyNumberFormat="1" applyFont="1" applyFill="1"/>
  </cellXfs>
  <cellStyles count="6">
    <cellStyle name="Comma" xfId="5" builtinId="3"/>
    <cellStyle name="Comma 2" xfId="3" xr:uid="{00000000-0005-0000-0000-000001000000}"/>
    <cellStyle name="Normal" xfId="0" builtinId="0"/>
    <cellStyle name="Normal 2" xfId="2" xr:uid="{00000000-0005-0000-0000-000003000000}"/>
    <cellStyle name="Percent" xfId="1" builtinId="5"/>
    <cellStyle name="Percent 2" xfId="4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0"/>
  <sheetViews>
    <sheetView zoomScale="130" zoomScaleNormal="130" workbookViewId="0">
      <pane ySplit="17" topLeftCell="A18" activePane="bottomLeft" state="frozen"/>
      <selection pane="bottomLeft" activeCell="B19" sqref="B19:B20"/>
    </sheetView>
  </sheetViews>
  <sheetFormatPr defaultRowHeight="16.5" x14ac:dyDescent="0.3"/>
  <cols>
    <col min="1" max="1" width="5.140625" style="70" customWidth="1"/>
    <col min="2" max="2" width="19.85546875" style="70" customWidth="1"/>
    <col min="3" max="3" width="16" style="70" customWidth="1"/>
    <col min="4" max="5" width="10.7109375" style="70" customWidth="1"/>
    <col min="6" max="6" width="17.7109375" style="70" customWidth="1"/>
    <col min="7" max="7" width="16.140625" style="70" customWidth="1"/>
    <col min="8" max="9" width="19.140625" style="76" customWidth="1"/>
    <col min="10" max="10" width="5.5703125" style="76" customWidth="1"/>
    <col min="11" max="11" width="15.140625" style="70" customWidth="1"/>
    <col min="12" max="12" width="12.28515625" style="70" customWidth="1"/>
    <col min="13" max="13" width="14.28515625" style="70" customWidth="1"/>
    <col min="14" max="257" width="12.28515625" style="70" customWidth="1"/>
    <col min="258" max="16384" width="9.140625" style="70"/>
  </cols>
  <sheetData>
    <row r="1" spans="2:11" ht="20.25" x14ac:dyDescent="0.35">
      <c r="B1" s="69" t="s">
        <v>68</v>
      </c>
      <c r="H1" s="70"/>
      <c r="I1" s="70"/>
      <c r="J1" s="70"/>
    </row>
    <row r="2" spans="2:11" x14ac:dyDescent="0.3">
      <c r="B2" s="70" t="s">
        <v>14</v>
      </c>
      <c r="C2" s="70" t="s">
        <v>69</v>
      </c>
      <c r="H2" s="70"/>
      <c r="I2" s="70"/>
      <c r="J2" s="70"/>
    </row>
    <row r="3" spans="2:11" x14ac:dyDescent="0.3">
      <c r="B3" s="70" t="s">
        <v>15</v>
      </c>
      <c r="C3" s="70" t="s">
        <v>70</v>
      </c>
      <c r="H3" s="70"/>
      <c r="I3" s="70"/>
      <c r="J3" s="70"/>
    </row>
    <row r="4" spans="2:11" x14ac:dyDescent="0.3">
      <c r="B4" s="70" t="s">
        <v>62</v>
      </c>
      <c r="C4" s="70" t="s">
        <v>71</v>
      </c>
      <c r="H4" s="70"/>
      <c r="I4" s="70"/>
      <c r="J4" s="70"/>
    </row>
    <row r="5" spans="2:11" x14ac:dyDescent="0.3">
      <c r="H5" s="70"/>
      <c r="I5" s="70"/>
      <c r="J5" s="70"/>
    </row>
    <row r="6" spans="2:11" x14ac:dyDescent="0.3">
      <c r="B6" s="71" t="s">
        <v>10</v>
      </c>
      <c r="C6" s="72"/>
      <c r="D6" s="72"/>
      <c r="F6" s="73" t="s">
        <v>36</v>
      </c>
      <c r="G6" s="74"/>
      <c r="H6" s="75"/>
      <c r="I6" s="75"/>
    </row>
    <row r="7" spans="2:11" x14ac:dyDescent="0.3">
      <c r="B7" s="81" t="s">
        <v>11</v>
      </c>
      <c r="C7" s="94" t="s">
        <v>13</v>
      </c>
      <c r="D7" s="107">
        <v>7.7880768642196618E-2</v>
      </c>
      <c r="F7" s="77" t="s">
        <v>25</v>
      </c>
      <c r="G7" s="78" t="s">
        <v>39</v>
      </c>
      <c r="H7" s="78" t="s">
        <v>35</v>
      </c>
      <c r="I7" s="78" t="s">
        <v>100</v>
      </c>
      <c r="J7" s="70"/>
    </row>
    <row r="8" spans="2:11" x14ac:dyDescent="0.3">
      <c r="F8" s="81" t="s">
        <v>11</v>
      </c>
      <c r="G8" s="92">
        <f>PB!C58</f>
        <v>61466969.546300188</v>
      </c>
      <c r="H8" s="93">
        <f>G8/D9</f>
        <v>6766.097734803473</v>
      </c>
      <c r="I8" s="93">
        <f>rate_private*H8/(1-(1+rate_private)^(-D13))</f>
        <v>1073.5891263881128</v>
      </c>
      <c r="J8" s="70"/>
    </row>
    <row r="9" spans="2:11" x14ac:dyDescent="0.3">
      <c r="B9" s="71" t="s">
        <v>9</v>
      </c>
      <c r="C9" s="94" t="s">
        <v>12</v>
      </c>
      <c r="D9" s="95">
        <v>9084.552419354839</v>
      </c>
      <c r="H9" s="70"/>
      <c r="I9" s="70"/>
      <c r="J9" s="70"/>
    </row>
    <row r="10" spans="2:11" x14ac:dyDescent="0.3">
      <c r="B10" s="71" t="s">
        <v>8</v>
      </c>
      <c r="C10" s="94" t="s">
        <v>17</v>
      </c>
      <c r="D10" s="72"/>
      <c r="F10" s="80" t="s">
        <v>53</v>
      </c>
      <c r="G10" s="78" t="s">
        <v>65</v>
      </c>
      <c r="H10" s="78" t="s">
        <v>66</v>
      </c>
      <c r="I10" s="78"/>
      <c r="J10" s="70"/>
    </row>
    <row r="11" spans="2:11" x14ac:dyDescent="0.3">
      <c r="B11" s="81" t="s">
        <v>11</v>
      </c>
      <c r="C11" s="81"/>
      <c r="D11" s="95">
        <v>30000</v>
      </c>
      <c r="F11" s="79" t="s">
        <v>11</v>
      </c>
      <c r="G11" s="92">
        <v>367602.82765144412</v>
      </c>
      <c r="H11" s="92">
        <f>G11/nilai_tukar</f>
        <v>40.464605264234947</v>
      </c>
      <c r="I11" s="92"/>
      <c r="J11" s="70"/>
    </row>
    <row r="12" spans="2:11" x14ac:dyDescent="0.3">
      <c r="H12" s="70"/>
      <c r="I12" s="70"/>
      <c r="J12" s="70"/>
    </row>
    <row r="13" spans="2:11" x14ac:dyDescent="0.3">
      <c r="B13" s="70" t="s">
        <v>101</v>
      </c>
      <c r="C13" s="70" t="s">
        <v>102</v>
      </c>
      <c r="D13" s="70">
        <v>9</v>
      </c>
      <c r="H13" s="70"/>
      <c r="I13" s="70"/>
      <c r="J13" s="70"/>
    </row>
    <row r="14" spans="2:11" x14ac:dyDescent="0.3">
      <c r="B14" s="81" t="s">
        <v>72</v>
      </c>
      <c r="C14" s="72"/>
      <c r="D14" s="82">
        <v>150000</v>
      </c>
      <c r="F14" s="98" t="s">
        <v>97</v>
      </c>
      <c r="G14" s="98"/>
      <c r="H14" s="98"/>
      <c r="I14" s="70"/>
      <c r="J14" s="70"/>
    </row>
    <row r="15" spans="2:11" x14ac:dyDescent="0.3">
      <c r="B15" s="81" t="s">
        <v>73</v>
      </c>
      <c r="C15" s="72"/>
      <c r="D15" s="82">
        <v>150000</v>
      </c>
      <c r="F15" s="70" t="s">
        <v>98</v>
      </c>
      <c r="G15" s="96" t="s">
        <v>47</v>
      </c>
      <c r="H15" s="97">
        <f>IO!D56</f>
        <v>208.89285714285711</v>
      </c>
      <c r="I15" s="97"/>
      <c r="J15" s="70"/>
    </row>
    <row r="16" spans="2:11" x14ac:dyDescent="0.3">
      <c r="B16" s="81" t="s">
        <v>74</v>
      </c>
      <c r="C16" s="72"/>
      <c r="D16" s="82">
        <v>1600</v>
      </c>
      <c r="F16" s="70" t="s">
        <v>99</v>
      </c>
      <c r="G16" s="96" t="s">
        <v>96</v>
      </c>
      <c r="H16" s="97">
        <f>IO!D57</f>
        <v>26.111607142857139</v>
      </c>
      <c r="I16" s="97"/>
      <c r="J16" s="70"/>
      <c r="K16" s="83"/>
    </row>
    <row r="17" spans="1:11" x14ac:dyDescent="0.3">
      <c r="B17" s="84"/>
      <c r="C17" s="85"/>
      <c r="D17" s="86"/>
      <c r="F17" s="84"/>
      <c r="G17" s="87"/>
      <c r="H17" s="88"/>
      <c r="I17" s="88"/>
      <c r="J17" s="70"/>
      <c r="K17" s="83"/>
    </row>
    <row r="18" spans="1:11" x14ac:dyDescent="0.3">
      <c r="B18" s="89" t="s">
        <v>37</v>
      </c>
    </row>
    <row r="19" spans="1:11" s="90" customFormat="1" ht="12" x14ac:dyDescent="0.2">
      <c r="A19" s="90">
        <v>1</v>
      </c>
      <c r="B19" s="90" t="s">
        <v>110</v>
      </c>
      <c r="H19" s="91"/>
      <c r="I19" s="91"/>
      <c r="J19" s="91"/>
    </row>
    <row r="20" spans="1:11" x14ac:dyDescent="0.3">
      <c r="A20" s="90">
        <v>2</v>
      </c>
      <c r="B20" s="90" t="s">
        <v>103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A78"/>
  <sheetViews>
    <sheetView zoomScaleNormal="10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12" sqref="C12"/>
    </sheetView>
  </sheetViews>
  <sheetFormatPr defaultRowHeight="15" x14ac:dyDescent="0.25"/>
  <cols>
    <col min="1" max="1" width="9.140625" style="1"/>
    <col min="2" max="2" width="35.85546875" style="1" customWidth="1"/>
    <col min="3" max="3" width="14.5703125" style="2" customWidth="1"/>
    <col min="4" max="6" width="7.42578125" style="20" bestFit="1" customWidth="1"/>
    <col min="7" max="9" width="4.85546875" style="20" bestFit="1" customWidth="1"/>
    <col min="10" max="10" width="5" style="20" customWidth="1"/>
    <col min="11" max="11" width="6" style="20" bestFit="1" customWidth="1"/>
    <col min="12" max="12" width="6" style="20" customWidth="1"/>
    <col min="13" max="13" width="10.85546875" style="5" bestFit="1" customWidth="1"/>
    <col min="14" max="18" width="9.140625" style="5"/>
    <col min="19" max="16384" width="9.140625" style="1"/>
  </cols>
  <sheetData>
    <row r="1" spans="2:27" s="39" customFormat="1" ht="18.75" x14ac:dyDescent="0.3">
      <c r="B1" s="36" t="s">
        <v>16</v>
      </c>
      <c r="C1" s="37"/>
      <c r="D1" s="41"/>
      <c r="E1" s="41"/>
      <c r="F1" s="41"/>
      <c r="G1" s="41"/>
      <c r="H1" s="41"/>
      <c r="I1" s="41"/>
      <c r="J1" s="41"/>
      <c r="K1" s="41"/>
      <c r="L1" s="41"/>
      <c r="M1" s="38"/>
      <c r="N1" s="38"/>
      <c r="O1" s="38"/>
      <c r="P1" s="38"/>
      <c r="Q1" s="38"/>
      <c r="R1" s="38"/>
    </row>
    <row r="2" spans="2:27" s="39" customFormat="1" x14ac:dyDescent="0.25">
      <c r="B2" s="42" t="s">
        <v>79</v>
      </c>
      <c r="C2" s="37"/>
      <c r="D2" s="41"/>
      <c r="E2" s="41"/>
      <c r="F2" s="41"/>
      <c r="G2" s="41"/>
      <c r="H2" s="41"/>
      <c r="I2" s="41"/>
      <c r="J2" s="41"/>
      <c r="K2" s="41"/>
      <c r="L2" s="41"/>
      <c r="M2" s="38"/>
      <c r="N2" s="38"/>
      <c r="O2" s="38"/>
      <c r="P2" s="38"/>
      <c r="Q2" s="38"/>
      <c r="R2" s="38"/>
    </row>
    <row r="3" spans="2:27" s="39" customFormat="1" x14ac:dyDescent="0.25">
      <c r="B3" s="39" t="s">
        <v>109</v>
      </c>
      <c r="C3" s="37"/>
      <c r="D3" s="41"/>
      <c r="E3" s="41"/>
      <c r="F3" s="41"/>
      <c r="G3" s="41"/>
      <c r="H3" s="41"/>
      <c r="I3" s="41"/>
      <c r="J3" s="41"/>
      <c r="K3" s="41"/>
      <c r="L3" s="41"/>
      <c r="M3" s="38"/>
      <c r="N3" s="38"/>
      <c r="O3" s="38"/>
      <c r="P3" s="38"/>
      <c r="Q3" s="38"/>
      <c r="R3" s="38"/>
    </row>
    <row r="4" spans="2:27" s="37" customFormat="1" ht="12.75" customHeight="1" x14ac:dyDescent="0.25">
      <c r="B4" s="101" t="s">
        <v>38</v>
      </c>
      <c r="C4" s="104" t="s">
        <v>0</v>
      </c>
      <c r="D4" s="100" t="s">
        <v>54</v>
      </c>
      <c r="E4" s="100" t="s">
        <v>55</v>
      </c>
      <c r="F4" s="100" t="s">
        <v>56</v>
      </c>
      <c r="G4" s="100" t="s">
        <v>57</v>
      </c>
      <c r="H4" s="100" t="s">
        <v>58</v>
      </c>
      <c r="I4" s="100" t="s">
        <v>59</v>
      </c>
      <c r="J4" s="100" t="s">
        <v>60</v>
      </c>
      <c r="K4" s="100" t="s">
        <v>61</v>
      </c>
      <c r="L4" s="100" t="s">
        <v>108</v>
      </c>
      <c r="M4" s="43"/>
      <c r="N4" s="43"/>
      <c r="O4" s="43"/>
      <c r="P4" s="43"/>
      <c r="Q4" s="43"/>
      <c r="R4" s="43"/>
      <c r="S4" s="44"/>
      <c r="T4" s="44"/>
      <c r="U4" s="44"/>
      <c r="V4" s="44"/>
      <c r="W4" s="44"/>
      <c r="X4" s="44"/>
      <c r="Y4" s="44"/>
      <c r="Z4" s="44"/>
      <c r="AA4" s="44"/>
    </row>
    <row r="5" spans="2:27" s="37" customFormat="1" ht="36.75" customHeight="1" x14ac:dyDescent="0.25">
      <c r="B5" s="102"/>
      <c r="C5" s="105"/>
      <c r="D5" s="100"/>
      <c r="E5" s="100"/>
      <c r="F5" s="100"/>
      <c r="G5" s="100"/>
      <c r="H5" s="100"/>
      <c r="I5" s="100"/>
      <c r="J5" s="100"/>
      <c r="K5" s="100"/>
      <c r="L5" s="100"/>
      <c r="M5" s="43"/>
      <c r="N5" s="43"/>
      <c r="O5" s="43"/>
      <c r="P5" s="43"/>
      <c r="Q5" s="43"/>
      <c r="R5" s="43"/>
      <c r="S5" s="44"/>
      <c r="T5" s="44"/>
      <c r="U5" s="44"/>
      <c r="V5" s="44"/>
      <c r="W5" s="44"/>
      <c r="X5" s="44"/>
      <c r="Y5" s="44"/>
      <c r="Z5" s="44"/>
      <c r="AA5" s="44"/>
    </row>
    <row r="6" spans="2:27" ht="15" customHeight="1" x14ac:dyDescent="0.25">
      <c r="B6" s="103"/>
      <c r="C6" s="22"/>
      <c r="D6" s="33"/>
      <c r="E6" s="33"/>
      <c r="F6" s="33"/>
      <c r="G6" s="33"/>
      <c r="H6" s="33"/>
      <c r="I6" s="33"/>
      <c r="J6" s="33"/>
      <c r="K6" s="33"/>
      <c r="L6" s="33"/>
      <c r="M6" s="26"/>
      <c r="N6" s="26"/>
      <c r="O6" s="26"/>
      <c r="P6" s="26"/>
      <c r="Q6" s="26"/>
      <c r="R6" s="26"/>
      <c r="S6" s="27"/>
      <c r="T6" s="27"/>
      <c r="U6" s="27"/>
      <c r="V6" s="27"/>
      <c r="W6" s="27"/>
      <c r="X6" s="27"/>
      <c r="Y6" s="27"/>
      <c r="Z6" s="27"/>
      <c r="AA6" s="27"/>
    </row>
    <row r="7" spans="2:27" x14ac:dyDescent="0.25">
      <c r="B7" s="9" t="s">
        <v>26</v>
      </c>
      <c r="C7" s="11"/>
      <c r="D7" s="29"/>
      <c r="E7" s="29"/>
      <c r="F7" s="29"/>
      <c r="G7" s="29"/>
      <c r="H7" s="29"/>
      <c r="I7" s="29"/>
      <c r="J7" s="29"/>
      <c r="K7" s="29"/>
      <c r="L7" s="29"/>
      <c r="M7" s="26"/>
      <c r="N7" s="26"/>
      <c r="O7" s="26"/>
      <c r="P7" s="26"/>
      <c r="Q7" s="26"/>
      <c r="R7" s="26"/>
      <c r="S7" s="27"/>
      <c r="T7" s="27"/>
      <c r="U7" s="27"/>
      <c r="V7" s="27"/>
      <c r="W7" s="27"/>
      <c r="X7" s="27"/>
      <c r="Y7" s="27"/>
      <c r="Z7" s="27"/>
      <c r="AA7" s="27"/>
    </row>
    <row r="8" spans="2:27" x14ac:dyDescent="0.25">
      <c r="B8" s="25" t="s">
        <v>7</v>
      </c>
      <c r="C8" s="11" t="s">
        <v>2</v>
      </c>
      <c r="D8" s="29">
        <f>200*2</f>
        <v>400</v>
      </c>
      <c r="E8" s="29">
        <f t="shared" ref="E8:F8" si="0">200*2</f>
        <v>400</v>
      </c>
      <c r="F8" s="29">
        <f t="shared" si="0"/>
        <v>400</v>
      </c>
      <c r="G8" s="29"/>
      <c r="H8" s="29"/>
      <c r="I8" s="29"/>
      <c r="J8" s="29"/>
      <c r="K8" s="29"/>
      <c r="L8" s="29"/>
      <c r="M8" s="26"/>
      <c r="N8" s="26"/>
      <c r="O8" s="26"/>
      <c r="P8" s="26"/>
      <c r="Q8" s="26"/>
      <c r="R8" s="26"/>
      <c r="S8" s="27"/>
      <c r="T8" s="27"/>
      <c r="U8" s="27"/>
      <c r="V8" s="27"/>
      <c r="W8" s="27"/>
      <c r="X8" s="27"/>
      <c r="Y8" s="27"/>
      <c r="Z8" s="27"/>
      <c r="AA8" s="27"/>
    </row>
    <row r="9" spans="2:27" x14ac:dyDescent="0.25">
      <c r="B9" s="25" t="s">
        <v>80</v>
      </c>
      <c r="C9" s="11" t="s">
        <v>2</v>
      </c>
      <c r="D9" s="29">
        <v>200</v>
      </c>
      <c r="E9" s="29">
        <v>200</v>
      </c>
      <c r="F9" s="29">
        <v>200</v>
      </c>
      <c r="G9" s="29"/>
      <c r="H9" s="29"/>
      <c r="I9" s="29"/>
      <c r="J9" s="29"/>
      <c r="K9" s="29"/>
      <c r="L9" s="29"/>
      <c r="M9" s="26"/>
      <c r="N9" s="26"/>
      <c r="O9" s="26"/>
      <c r="P9" s="26"/>
      <c r="Q9" s="26"/>
      <c r="R9" s="26"/>
      <c r="S9" s="27"/>
      <c r="T9" s="27"/>
      <c r="U9" s="27"/>
      <c r="V9" s="27"/>
      <c r="W9" s="27"/>
      <c r="X9" s="27"/>
      <c r="Y9" s="27"/>
      <c r="Z9" s="27"/>
      <c r="AA9" s="27"/>
    </row>
    <row r="10" spans="2:27" x14ac:dyDescent="0.25">
      <c r="B10" s="25" t="s">
        <v>81</v>
      </c>
      <c r="C10" s="11" t="s">
        <v>2</v>
      </c>
      <c r="D10" s="29">
        <v>200</v>
      </c>
      <c r="E10" s="29">
        <v>200</v>
      </c>
      <c r="F10" s="29">
        <v>200</v>
      </c>
      <c r="G10" s="29"/>
      <c r="H10" s="29"/>
      <c r="I10" s="29"/>
      <c r="J10" s="29"/>
      <c r="K10" s="29"/>
      <c r="L10" s="29"/>
      <c r="M10" s="26"/>
      <c r="N10" s="26"/>
      <c r="O10" s="26"/>
      <c r="P10" s="26"/>
      <c r="Q10" s="26"/>
      <c r="R10" s="26"/>
      <c r="S10" s="27"/>
      <c r="T10" s="27"/>
      <c r="U10" s="27"/>
      <c r="V10" s="27"/>
      <c r="W10" s="27"/>
      <c r="X10" s="27"/>
      <c r="Y10" s="27"/>
      <c r="Z10" s="27"/>
      <c r="AA10" s="27"/>
    </row>
    <row r="11" spans="2:27" x14ac:dyDescent="0.25">
      <c r="B11" s="25" t="s">
        <v>82</v>
      </c>
      <c r="C11" s="11" t="s">
        <v>2</v>
      </c>
      <c r="D11" s="29">
        <v>200</v>
      </c>
      <c r="E11" s="29">
        <v>200</v>
      </c>
      <c r="F11" s="29">
        <v>200</v>
      </c>
      <c r="G11" s="29"/>
      <c r="H11" s="29"/>
      <c r="I11" s="29"/>
      <c r="J11" s="29"/>
      <c r="K11" s="29"/>
      <c r="L11" s="29"/>
      <c r="M11" s="26"/>
      <c r="N11" s="26"/>
      <c r="O11" s="26"/>
      <c r="P11" s="26"/>
      <c r="Q11" s="26"/>
      <c r="R11" s="26"/>
      <c r="S11" s="27"/>
      <c r="T11" s="27"/>
      <c r="U11" s="27"/>
      <c r="V11" s="27"/>
      <c r="W11" s="27"/>
      <c r="X11" s="27"/>
      <c r="Y11" s="27"/>
      <c r="Z11" s="27"/>
      <c r="AA11" s="27"/>
    </row>
    <row r="12" spans="2:27" x14ac:dyDescent="0.25">
      <c r="B12" s="25" t="s">
        <v>80</v>
      </c>
      <c r="C12" s="11" t="s">
        <v>2</v>
      </c>
      <c r="D12" s="29">
        <v>200</v>
      </c>
      <c r="E12" s="29">
        <v>200</v>
      </c>
      <c r="F12" s="29">
        <v>200</v>
      </c>
      <c r="G12" s="30"/>
      <c r="H12" s="30"/>
      <c r="I12" s="30"/>
      <c r="J12" s="29"/>
      <c r="K12" s="29"/>
      <c r="L12" s="29"/>
      <c r="M12" s="26"/>
      <c r="N12" s="26"/>
      <c r="O12" s="26"/>
      <c r="P12" s="26"/>
      <c r="Q12" s="26"/>
      <c r="R12" s="26"/>
      <c r="S12" s="27"/>
      <c r="T12" s="27"/>
      <c r="U12" s="27"/>
      <c r="V12" s="27"/>
      <c r="W12" s="27"/>
      <c r="X12" s="27"/>
      <c r="Y12" s="27"/>
      <c r="Z12" s="27"/>
      <c r="AA12" s="27"/>
    </row>
    <row r="13" spans="2:27" s="4" customFormat="1" x14ac:dyDescent="0.25">
      <c r="B13" s="9"/>
      <c r="C13" s="11"/>
      <c r="D13" s="29"/>
      <c r="E13" s="29"/>
      <c r="F13" s="29"/>
      <c r="G13" s="29"/>
      <c r="H13" s="29"/>
      <c r="I13" s="29"/>
      <c r="J13" s="29"/>
      <c r="K13" s="29"/>
      <c r="L13" s="29"/>
      <c r="M13" s="26"/>
      <c r="N13" s="26"/>
      <c r="O13" s="26"/>
      <c r="P13" s="26"/>
      <c r="Q13" s="26"/>
      <c r="R13" s="26"/>
      <c r="S13" s="28"/>
      <c r="T13" s="28"/>
      <c r="U13" s="28"/>
      <c r="V13" s="28"/>
      <c r="W13" s="28"/>
      <c r="X13" s="28"/>
      <c r="Y13" s="28"/>
      <c r="Z13" s="28"/>
      <c r="AA13" s="28"/>
    </row>
    <row r="14" spans="2:27" s="4" customFormat="1" x14ac:dyDescent="0.25">
      <c r="B14" s="9" t="s">
        <v>27</v>
      </c>
      <c r="C14" s="11"/>
      <c r="D14" s="29"/>
      <c r="E14" s="29"/>
      <c r="F14" s="29"/>
      <c r="G14" s="29"/>
      <c r="H14" s="29"/>
      <c r="I14" s="29"/>
      <c r="J14" s="29"/>
      <c r="K14" s="29"/>
      <c r="L14" s="29"/>
      <c r="M14" s="26"/>
      <c r="N14" s="26"/>
      <c r="O14" s="26"/>
      <c r="P14" s="26"/>
      <c r="Q14" s="26"/>
      <c r="R14" s="26"/>
      <c r="S14" s="28"/>
      <c r="T14" s="28"/>
      <c r="U14" s="28"/>
      <c r="V14" s="28"/>
      <c r="W14" s="28"/>
      <c r="X14" s="28"/>
      <c r="Y14" s="28"/>
      <c r="Z14" s="28"/>
      <c r="AA14" s="28"/>
    </row>
    <row r="15" spans="2:27" s="4" customFormat="1" x14ac:dyDescent="0.25">
      <c r="B15" s="25" t="s">
        <v>84</v>
      </c>
      <c r="C15" s="11" t="s">
        <v>86</v>
      </c>
      <c r="D15" s="29">
        <f>2*(2+2)</f>
        <v>8</v>
      </c>
      <c r="E15" s="29">
        <f t="shared" ref="E15:F15" si="1">2*(2+2)</f>
        <v>8</v>
      </c>
      <c r="F15" s="29">
        <f t="shared" si="1"/>
        <v>8</v>
      </c>
      <c r="G15" s="29"/>
      <c r="H15" s="29"/>
      <c r="I15" s="29"/>
      <c r="J15" s="29"/>
      <c r="K15" s="29"/>
      <c r="L15" s="29"/>
      <c r="M15" s="26"/>
      <c r="N15" s="26"/>
      <c r="O15" s="26"/>
      <c r="P15" s="26"/>
      <c r="Q15" s="26"/>
      <c r="R15" s="26"/>
      <c r="S15" s="28"/>
      <c r="T15" s="28"/>
      <c r="U15" s="28"/>
      <c r="V15" s="28"/>
      <c r="W15" s="28"/>
      <c r="X15" s="28"/>
      <c r="Y15" s="28"/>
      <c r="Z15" s="28"/>
      <c r="AA15" s="28"/>
    </row>
    <row r="16" spans="2:27" s="4" customFormat="1" x14ac:dyDescent="0.25">
      <c r="B16" s="25" t="s">
        <v>85</v>
      </c>
      <c r="C16" s="11" t="s">
        <v>86</v>
      </c>
      <c r="D16" s="29">
        <f>2*3</f>
        <v>6</v>
      </c>
      <c r="E16" s="29">
        <f t="shared" ref="E16:F16" si="2">2*3</f>
        <v>6</v>
      </c>
      <c r="F16" s="29">
        <f t="shared" si="2"/>
        <v>6</v>
      </c>
      <c r="G16" s="29"/>
      <c r="H16" s="29"/>
      <c r="I16" s="29"/>
      <c r="J16" s="29"/>
      <c r="K16" s="29"/>
      <c r="L16" s="29"/>
      <c r="M16" s="26"/>
      <c r="N16" s="26"/>
      <c r="O16" s="26"/>
      <c r="P16" s="26"/>
      <c r="Q16" s="26"/>
      <c r="R16" s="26"/>
      <c r="S16" s="28"/>
      <c r="T16" s="28"/>
      <c r="U16" s="28"/>
      <c r="V16" s="28"/>
      <c r="W16" s="28"/>
      <c r="X16" s="28"/>
      <c r="Y16" s="28"/>
      <c r="Z16" s="28"/>
      <c r="AA16" s="28"/>
    </row>
    <row r="17" spans="2:27" s="4" customFormat="1" x14ac:dyDescent="0.25">
      <c r="B17" s="9"/>
      <c r="C17" s="11"/>
      <c r="D17" s="29"/>
      <c r="E17" s="29"/>
      <c r="F17" s="29"/>
      <c r="G17" s="29"/>
      <c r="H17" s="29"/>
      <c r="I17" s="29"/>
      <c r="J17" s="29"/>
      <c r="K17" s="29"/>
      <c r="L17" s="29"/>
      <c r="M17" s="26"/>
      <c r="N17" s="26"/>
      <c r="O17" s="26"/>
      <c r="P17" s="26"/>
      <c r="Q17" s="26"/>
      <c r="R17" s="26"/>
      <c r="S17" s="28"/>
      <c r="T17" s="28"/>
      <c r="U17" s="28"/>
      <c r="V17" s="28"/>
      <c r="W17" s="28"/>
      <c r="X17" s="28"/>
      <c r="Y17" s="28"/>
      <c r="Z17" s="28"/>
      <c r="AA17" s="28"/>
    </row>
    <row r="18" spans="2:27" x14ac:dyDescent="0.25">
      <c r="B18" s="9" t="s">
        <v>29</v>
      </c>
      <c r="C18" s="11"/>
      <c r="D18" s="29"/>
      <c r="E18" s="29"/>
      <c r="F18" s="29"/>
      <c r="G18" s="29"/>
      <c r="H18" s="29"/>
      <c r="I18" s="29"/>
      <c r="J18" s="29"/>
      <c r="K18" s="29"/>
      <c r="L18" s="29"/>
      <c r="M18" s="26"/>
      <c r="N18" s="26"/>
      <c r="O18" s="26"/>
      <c r="P18" s="26"/>
      <c r="Q18" s="26"/>
      <c r="R18" s="26"/>
      <c r="S18" s="27"/>
      <c r="T18" s="27"/>
      <c r="U18" s="27"/>
      <c r="V18" s="27"/>
      <c r="W18" s="27"/>
      <c r="X18" s="27"/>
      <c r="Y18" s="27"/>
      <c r="Z18" s="27"/>
      <c r="AA18" s="27"/>
    </row>
    <row r="19" spans="2:27" x14ac:dyDescent="0.25">
      <c r="B19" s="25" t="s">
        <v>75</v>
      </c>
      <c r="C19" s="11" t="s">
        <v>2</v>
      </c>
      <c r="D19" s="29">
        <f>12*2</f>
        <v>24</v>
      </c>
      <c r="E19" s="29">
        <f t="shared" ref="E19:F19" si="3">12*2</f>
        <v>24</v>
      </c>
      <c r="F19" s="29">
        <f t="shared" si="3"/>
        <v>24</v>
      </c>
      <c r="G19" s="29"/>
      <c r="H19" s="29"/>
      <c r="I19" s="29"/>
      <c r="J19" s="29"/>
      <c r="K19" s="29"/>
      <c r="L19" s="29"/>
      <c r="M19" s="26"/>
      <c r="N19" s="26"/>
      <c r="O19" s="26"/>
      <c r="P19" s="26"/>
      <c r="Q19" s="26"/>
      <c r="R19" s="26"/>
      <c r="S19" s="27"/>
      <c r="T19" s="27"/>
      <c r="U19" s="27"/>
      <c r="V19" s="27"/>
      <c r="W19" s="27"/>
      <c r="X19" s="27"/>
      <c r="Y19" s="27"/>
      <c r="Z19" s="27"/>
      <c r="AA19" s="27"/>
    </row>
    <row r="20" spans="2:27" x14ac:dyDescent="0.25">
      <c r="B20" s="25" t="s">
        <v>83</v>
      </c>
      <c r="C20" s="11" t="s">
        <v>78</v>
      </c>
      <c r="D20" s="29">
        <v>500</v>
      </c>
      <c r="E20" s="29"/>
      <c r="F20" s="29"/>
      <c r="G20" s="29"/>
      <c r="H20" s="29"/>
      <c r="I20" s="29"/>
      <c r="J20" s="29"/>
      <c r="K20" s="29"/>
      <c r="L20" s="29"/>
      <c r="M20" s="26"/>
      <c r="N20" s="26"/>
      <c r="O20" s="26"/>
      <c r="P20" s="26"/>
      <c r="Q20" s="26"/>
      <c r="R20" s="26"/>
      <c r="S20" s="27"/>
      <c r="T20" s="27"/>
      <c r="U20" s="27"/>
      <c r="V20" s="27"/>
      <c r="W20" s="27"/>
      <c r="X20" s="27"/>
      <c r="Y20" s="27"/>
      <c r="Z20" s="27"/>
      <c r="AA20" s="27"/>
    </row>
    <row r="21" spans="2:27" x14ac:dyDescent="0.25">
      <c r="B21" s="25" t="s">
        <v>87</v>
      </c>
      <c r="C21" s="11" t="s">
        <v>78</v>
      </c>
      <c r="D21" s="29"/>
      <c r="E21" s="29">
        <v>500</v>
      </c>
      <c r="F21" s="29"/>
      <c r="G21" s="29"/>
      <c r="H21" s="29"/>
      <c r="I21" s="29"/>
      <c r="J21" s="29"/>
      <c r="K21" s="29"/>
      <c r="L21" s="29"/>
      <c r="M21" s="26"/>
      <c r="N21" s="26"/>
      <c r="O21" s="26"/>
      <c r="P21" s="26"/>
      <c r="Q21" s="26"/>
      <c r="R21" s="26"/>
      <c r="S21" s="27"/>
      <c r="T21" s="27"/>
      <c r="U21" s="27"/>
      <c r="V21" s="27"/>
      <c r="W21" s="27"/>
      <c r="X21" s="27"/>
      <c r="Y21" s="27"/>
      <c r="Z21" s="27"/>
      <c r="AA21" s="27"/>
    </row>
    <row r="22" spans="2:27" x14ac:dyDescent="0.25">
      <c r="B22" s="25"/>
      <c r="C22" s="11"/>
      <c r="D22" s="29"/>
      <c r="E22" s="29"/>
      <c r="F22" s="29"/>
      <c r="G22" s="29"/>
      <c r="H22" s="29"/>
      <c r="I22" s="29"/>
      <c r="J22" s="29"/>
      <c r="K22" s="29"/>
      <c r="L22" s="29"/>
      <c r="M22" s="26"/>
      <c r="N22" s="26"/>
      <c r="O22" s="26"/>
      <c r="P22" s="26"/>
      <c r="Q22" s="26"/>
      <c r="R22" s="26"/>
      <c r="S22" s="27"/>
      <c r="T22" s="27"/>
      <c r="U22" s="27"/>
      <c r="V22" s="27"/>
      <c r="W22" s="27"/>
      <c r="X22" s="27"/>
      <c r="Y22" s="27"/>
      <c r="Z22" s="27"/>
      <c r="AA22" s="27"/>
    </row>
    <row r="23" spans="2:27" x14ac:dyDescent="0.25">
      <c r="B23" s="9" t="s">
        <v>30</v>
      </c>
      <c r="C23" s="11"/>
      <c r="D23" s="29"/>
      <c r="E23" s="29"/>
      <c r="F23" s="29"/>
      <c r="G23" s="29"/>
      <c r="H23" s="29"/>
      <c r="I23" s="29"/>
      <c r="J23" s="29"/>
      <c r="K23" s="29"/>
      <c r="L23" s="29"/>
      <c r="M23" s="26"/>
      <c r="N23" s="26"/>
      <c r="O23" s="26"/>
      <c r="P23" s="26"/>
      <c r="Q23" s="26"/>
      <c r="R23" s="26"/>
      <c r="S23" s="27"/>
      <c r="T23" s="27"/>
      <c r="U23" s="27"/>
      <c r="V23" s="27"/>
      <c r="W23" s="27"/>
      <c r="X23" s="27"/>
      <c r="Y23" s="27"/>
      <c r="Z23" s="27"/>
      <c r="AA23" s="27"/>
    </row>
    <row r="24" spans="2:27" x14ac:dyDescent="0.25">
      <c r="B24" s="25" t="s">
        <v>67</v>
      </c>
      <c r="C24" s="11" t="s">
        <v>1</v>
      </c>
      <c r="D24" s="29">
        <f>D48/50</f>
        <v>100</v>
      </c>
      <c r="E24" s="29">
        <f t="shared" ref="E24:F24" si="4">E48/50</f>
        <v>100</v>
      </c>
      <c r="F24" s="29">
        <f t="shared" si="4"/>
        <v>100</v>
      </c>
      <c r="G24" s="29"/>
      <c r="H24" s="29"/>
      <c r="I24" s="29"/>
      <c r="J24" s="29"/>
      <c r="K24" s="29"/>
      <c r="L24" s="29"/>
      <c r="M24" s="26"/>
      <c r="N24" s="26"/>
      <c r="O24" s="26"/>
      <c r="P24" s="26"/>
      <c r="Q24" s="26"/>
      <c r="R24" s="26"/>
      <c r="S24" s="27"/>
      <c r="T24" s="27"/>
      <c r="U24" s="27"/>
      <c r="V24" s="27"/>
      <c r="W24" s="27"/>
      <c r="X24" s="27"/>
      <c r="Y24" s="27"/>
      <c r="Z24" s="27"/>
      <c r="AA24" s="27"/>
    </row>
    <row r="25" spans="2:27" x14ac:dyDescent="0.25">
      <c r="B25" s="25" t="s">
        <v>64</v>
      </c>
      <c r="C25" s="11" t="s">
        <v>1</v>
      </c>
      <c r="D25" s="29">
        <v>1</v>
      </c>
      <c r="E25" s="29"/>
      <c r="F25" s="29"/>
      <c r="G25" s="29"/>
      <c r="H25" s="29"/>
      <c r="I25" s="29"/>
      <c r="J25" s="29"/>
      <c r="K25" s="29"/>
      <c r="L25" s="29"/>
      <c r="M25" s="26"/>
      <c r="N25" s="26"/>
      <c r="O25" s="26"/>
      <c r="P25" s="26"/>
      <c r="Q25" s="26"/>
      <c r="R25" s="26"/>
      <c r="S25" s="27"/>
      <c r="T25" s="27"/>
      <c r="U25" s="27"/>
      <c r="V25" s="27"/>
      <c r="W25" s="27"/>
      <c r="X25" s="27"/>
      <c r="Y25" s="27"/>
      <c r="Z25" s="27"/>
      <c r="AA25" s="27"/>
    </row>
    <row r="26" spans="2:27" x14ac:dyDescent="0.25">
      <c r="B26" s="25" t="s">
        <v>32</v>
      </c>
      <c r="C26" s="11" t="s">
        <v>1</v>
      </c>
      <c r="D26" s="29">
        <v>1</v>
      </c>
      <c r="E26" s="29"/>
      <c r="F26" s="29"/>
      <c r="G26" s="29"/>
      <c r="H26" s="29"/>
      <c r="I26" s="29">
        <v>1</v>
      </c>
      <c r="J26" s="29"/>
      <c r="K26" s="29"/>
      <c r="L26" s="29"/>
      <c r="M26" s="26"/>
      <c r="N26" s="26"/>
      <c r="O26" s="26"/>
      <c r="P26" s="26"/>
      <c r="Q26" s="26"/>
      <c r="R26" s="26"/>
      <c r="S26" s="27"/>
      <c r="T26" s="27"/>
      <c r="U26" s="27"/>
      <c r="V26" s="27"/>
      <c r="W26" s="27"/>
      <c r="X26" s="27"/>
      <c r="Y26" s="27"/>
      <c r="Z26" s="27"/>
      <c r="AA26" s="27"/>
    </row>
    <row r="27" spans="2:27" x14ac:dyDescent="0.25">
      <c r="B27" s="25" t="s">
        <v>33</v>
      </c>
      <c r="C27" s="11" t="s">
        <v>1</v>
      </c>
      <c r="D27" s="29">
        <v>1</v>
      </c>
      <c r="E27" s="29"/>
      <c r="F27" s="29">
        <v>1</v>
      </c>
      <c r="G27" s="29"/>
      <c r="H27" s="29">
        <v>1</v>
      </c>
      <c r="I27" s="29"/>
      <c r="J27" s="29">
        <v>1</v>
      </c>
      <c r="K27" s="29"/>
      <c r="L27" s="29"/>
      <c r="M27" s="26"/>
      <c r="N27" s="26"/>
      <c r="O27" s="26"/>
      <c r="P27" s="26"/>
      <c r="Q27" s="26"/>
      <c r="R27" s="26"/>
      <c r="S27" s="27"/>
      <c r="T27" s="27"/>
      <c r="U27" s="27"/>
      <c r="V27" s="27"/>
      <c r="W27" s="27"/>
      <c r="X27" s="27"/>
      <c r="Y27" s="27"/>
      <c r="Z27" s="27"/>
      <c r="AA27" s="27"/>
    </row>
    <row r="28" spans="2:27" x14ac:dyDescent="0.25">
      <c r="B28" s="47"/>
      <c r="C28" s="11"/>
      <c r="D28" s="50"/>
      <c r="E28" s="29"/>
      <c r="F28" s="29"/>
      <c r="G28" s="29"/>
      <c r="H28" s="29"/>
      <c r="I28" s="29"/>
      <c r="J28" s="29"/>
      <c r="K28" s="29"/>
      <c r="L28" s="29"/>
      <c r="M28" s="26"/>
      <c r="N28" s="26"/>
      <c r="O28" s="26"/>
      <c r="P28" s="26"/>
      <c r="Q28" s="26"/>
      <c r="R28" s="26"/>
      <c r="S28" s="27"/>
      <c r="T28" s="27"/>
      <c r="U28" s="27"/>
      <c r="V28" s="27"/>
      <c r="W28" s="27"/>
      <c r="X28" s="27"/>
      <c r="Y28" s="27"/>
      <c r="Z28" s="27"/>
      <c r="AA28" s="27"/>
    </row>
    <row r="29" spans="2:27" x14ac:dyDescent="0.25">
      <c r="B29" s="47" t="s">
        <v>31</v>
      </c>
      <c r="C29" s="11"/>
      <c r="D29" s="50"/>
      <c r="E29" s="29"/>
      <c r="F29" s="29"/>
      <c r="G29" s="29"/>
      <c r="H29" s="29"/>
      <c r="I29" s="29"/>
      <c r="J29" s="29"/>
      <c r="K29" s="29"/>
      <c r="L29" s="29"/>
      <c r="M29" s="26"/>
      <c r="N29" s="26"/>
      <c r="O29" s="26"/>
      <c r="P29" s="26"/>
      <c r="Q29" s="26"/>
      <c r="R29" s="26"/>
      <c r="S29" s="27"/>
      <c r="T29" s="27"/>
      <c r="U29" s="27"/>
      <c r="V29" s="27"/>
      <c r="W29" s="27"/>
      <c r="X29" s="27"/>
      <c r="Y29" s="27"/>
      <c r="Z29" s="27"/>
      <c r="AA29" s="27"/>
    </row>
    <row r="30" spans="2:27" x14ac:dyDescent="0.25">
      <c r="B30" s="10" t="s">
        <v>75</v>
      </c>
      <c r="C30" s="11" t="s">
        <v>34</v>
      </c>
      <c r="D30" s="50"/>
      <c r="E30" s="29"/>
      <c r="F30" s="29"/>
      <c r="G30" s="29"/>
      <c r="H30" s="29"/>
      <c r="I30" s="29"/>
      <c r="J30" s="29"/>
      <c r="K30" s="29"/>
      <c r="L30" s="29"/>
      <c r="M30" s="26"/>
      <c r="N30" s="26"/>
      <c r="O30" s="26"/>
      <c r="P30" s="26"/>
      <c r="Q30" s="26"/>
      <c r="R30" s="26"/>
      <c r="S30" s="27"/>
      <c r="T30" s="27"/>
      <c r="U30" s="27"/>
      <c r="V30" s="27"/>
      <c r="W30" s="27"/>
      <c r="X30" s="27"/>
      <c r="Y30" s="27"/>
      <c r="Z30" s="27"/>
      <c r="AA30" s="27"/>
    </row>
    <row r="31" spans="2:27" x14ac:dyDescent="0.25">
      <c r="B31" s="25" t="s">
        <v>45</v>
      </c>
      <c r="C31" s="11" t="s">
        <v>34</v>
      </c>
      <c r="D31" s="50">
        <v>10</v>
      </c>
      <c r="E31" s="50">
        <v>8</v>
      </c>
      <c r="F31" s="50">
        <v>8</v>
      </c>
      <c r="G31" s="29"/>
      <c r="H31" s="29"/>
      <c r="I31" s="29"/>
      <c r="J31" s="29"/>
      <c r="K31" s="29"/>
      <c r="L31" s="29"/>
      <c r="M31" s="26"/>
      <c r="N31" s="26"/>
      <c r="O31" s="26"/>
      <c r="P31" s="26"/>
      <c r="Q31" s="26"/>
      <c r="R31" s="26"/>
      <c r="S31" s="27"/>
      <c r="T31" s="27"/>
      <c r="U31" s="27"/>
      <c r="V31" s="27"/>
      <c r="W31" s="27"/>
      <c r="X31" s="27"/>
      <c r="Y31" s="27"/>
      <c r="Z31" s="27"/>
      <c r="AA31" s="27"/>
    </row>
    <row r="32" spans="2:27" x14ac:dyDescent="0.25">
      <c r="B32" s="25" t="s">
        <v>41</v>
      </c>
      <c r="C32" s="11" t="s">
        <v>34</v>
      </c>
      <c r="D32" s="29">
        <f>2*2.5</f>
        <v>5</v>
      </c>
      <c r="E32" s="29">
        <f t="shared" ref="E32:F32" si="5">2*2.5</f>
        <v>5</v>
      </c>
      <c r="F32" s="29">
        <f t="shared" si="5"/>
        <v>5</v>
      </c>
      <c r="G32" s="29"/>
      <c r="H32" s="29"/>
      <c r="I32" s="29"/>
      <c r="J32" s="29"/>
      <c r="K32" s="29"/>
      <c r="L32" s="29"/>
      <c r="M32" s="26"/>
      <c r="N32" s="26"/>
      <c r="O32" s="26"/>
      <c r="P32" s="26"/>
      <c r="Q32" s="26"/>
      <c r="R32" s="26"/>
      <c r="S32" s="27"/>
      <c r="T32" s="27"/>
      <c r="U32" s="27"/>
      <c r="V32" s="27"/>
      <c r="W32" s="27"/>
      <c r="X32" s="27"/>
      <c r="Y32" s="27"/>
      <c r="Z32" s="27"/>
      <c r="AA32" s="27"/>
    </row>
    <row r="33" spans="2:27" x14ac:dyDescent="0.25">
      <c r="B33" s="25" t="s">
        <v>40</v>
      </c>
      <c r="C33" s="11" t="s">
        <v>34</v>
      </c>
      <c r="D33" s="29">
        <f>2*6</f>
        <v>12</v>
      </c>
      <c r="E33" s="29">
        <f t="shared" ref="E33:F33" si="6">2*6</f>
        <v>12</v>
      </c>
      <c r="F33" s="29">
        <f t="shared" si="6"/>
        <v>12</v>
      </c>
      <c r="G33" s="29"/>
      <c r="H33" s="29"/>
      <c r="I33" s="29"/>
      <c r="J33" s="29"/>
      <c r="K33" s="29"/>
      <c r="L33" s="29"/>
      <c r="M33" s="26"/>
      <c r="N33" s="26"/>
      <c r="O33" s="26"/>
      <c r="P33" s="26"/>
      <c r="Q33" s="26"/>
      <c r="R33" s="26"/>
      <c r="S33" s="27"/>
      <c r="T33" s="27"/>
      <c r="U33" s="27"/>
      <c r="V33" s="27"/>
      <c r="W33" s="27"/>
      <c r="X33" s="27"/>
      <c r="Y33" s="27"/>
      <c r="Z33" s="27"/>
      <c r="AA33" s="27"/>
    </row>
    <row r="34" spans="2:27" x14ac:dyDescent="0.25">
      <c r="B34" s="25" t="s">
        <v>63</v>
      </c>
      <c r="C34" s="11" t="s">
        <v>34</v>
      </c>
      <c r="D34" s="50">
        <f>2*2</f>
        <v>4</v>
      </c>
      <c r="E34" s="50">
        <f t="shared" ref="E34:F34" si="7">2*2</f>
        <v>4</v>
      </c>
      <c r="F34" s="50">
        <f t="shared" si="7"/>
        <v>4</v>
      </c>
      <c r="G34" s="29"/>
      <c r="H34" s="29"/>
      <c r="I34" s="29"/>
      <c r="J34" s="29"/>
      <c r="K34" s="29"/>
      <c r="L34" s="29"/>
      <c r="M34" s="26"/>
      <c r="N34" s="26"/>
      <c r="O34" s="26"/>
      <c r="P34" s="26"/>
      <c r="Q34" s="26"/>
      <c r="R34" s="26"/>
      <c r="S34" s="27"/>
      <c r="T34" s="27"/>
      <c r="U34" s="27"/>
      <c r="V34" s="27"/>
      <c r="W34" s="27"/>
      <c r="X34" s="27"/>
      <c r="Y34" s="27"/>
      <c r="Z34" s="27"/>
      <c r="AA34" s="27"/>
    </row>
    <row r="35" spans="2:27" x14ac:dyDescent="0.25">
      <c r="B35" s="25" t="s">
        <v>42</v>
      </c>
      <c r="C35" s="11" t="s">
        <v>34</v>
      </c>
      <c r="D35" s="50">
        <f>2*5</f>
        <v>10</v>
      </c>
      <c r="E35" s="50">
        <f t="shared" ref="E35:F35" si="8">2*5</f>
        <v>10</v>
      </c>
      <c r="F35" s="50">
        <f t="shared" si="8"/>
        <v>10</v>
      </c>
      <c r="G35" s="29"/>
      <c r="H35" s="29"/>
      <c r="I35" s="29"/>
      <c r="J35" s="29"/>
      <c r="K35" s="29"/>
      <c r="L35" s="29"/>
      <c r="M35" s="26"/>
      <c r="N35" s="26"/>
      <c r="O35" s="26"/>
      <c r="P35" s="26"/>
      <c r="Q35" s="26"/>
      <c r="R35" s="26"/>
      <c r="S35" s="27"/>
      <c r="T35" s="27"/>
      <c r="U35" s="27"/>
      <c r="V35" s="27"/>
      <c r="W35" s="27"/>
      <c r="X35" s="27"/>
      <c r="Y35" s="27"/>
      <c r="Z35" s="27"/>
      <c r="AA35" s="27"/>
    </row>
    <row r="36" spans="2:27" x14ac:dyDescent="0.25">
      <c r="B36" s="25" t="s">
        <v>88</v>
      </c>
      <c r="C36" s="11" t="s">
        <v>34</v>
      </c>
      <c r="D36" s="99">
        <f>2*7.14285714285714</f>
        <v>14.285714285714279</v>
      </c>
      <c r="E36" s="99">
        <f t="shared" ref="E36:F36" si="9">2*7.14285714285714</f>
        <v>14.285714285714279</v>
      </c>
      <c r="F36" s="99">
        <f t="shared" si="9"/>
        <v>14.285714285714279</v>
      </c>
      <c r="G36" s="29"/>
      <c r="H36" s="29"/>
      <c r="I36" s="29"/>
      <c r="J36" s="29"/>
      <c r="K36" s="29"/>
      <c r="L36" s="29"/>
      <c r="M36" s="26"/>
      <c r="N36" s="26"/>
      <c r="O36" s="26"/>
      <c r="P36" s="26"/>
      <c r="Q36" s="26"/>
      <c r="R36" s="26"/>
      <c r="S36" s="27"/>
      <c r="T36" s="27"/>
      <c r="U36" s="27"/>
      <c r="V36" s="27"/>
      <c r="W36" s="27"/>
      <c r="X36" s="27"/>
      <c r="Y36" s="27"/>
      <c r="Z36" s="27"/>
      <c r="AA36" s="27"/>
    </row>
    <row r="37" spans="2:27" x14ac:dyDescent="0.25">
      <c r="B37" s="25" t="s">
        <v>89</v>
      </c>
      <c r="C37" s="11" t="s">
        <v>34</v>
      </c>
      <c r="D37" s="99">
        <f>2*0.214285714285714</f>
        <v>0.42857142857142799</v>
      </c>
      <c r="E37" s="99">
        <f t="shared" ref="E37:F37" si="10">2*0.214285714285714</f>
        <v>0.42857142857142799</v>
      </c>
      <c r="F37" s="99">
        <f t="shared" si="10"/>
        <v>0.42857142857142799</v>
      </c>
      <c r="G37" s="29"/>
      <c r="H37" s="29"/>
      <c r="I37" s="29"/>
      <c r="J37" s="29"/>
      <c r="K37" s="29"/>
      <c r="L37" s="29"/>
      <c r="M37" s="26"/>
      <c r="N37" s="26"/>
      <c r="O37" s="26"/>
      <c r="P37" s="26"/>
      <c r="Q37" s="26"/>
      <c r="R37" s="26"/>
      <c r="S37" s="27"/>
      <c r="T37" s="27"/>
      <c r="U37" s="27"/>
      <c r="V37" s="27"/>
      <c r="W37" s="27"/>
      <c r="X37" s="27"/>
      <c r="Y37" s="27"/>
      <c r="Z37" s="27"/>
      <c r="AA37" s="27"/>
    </row>
    <row r="38" spans="2:27" x14ac:dyDescent="0.25">
      <c r="B38" s="10" t="s">
        <v>90</v>
      </c>
      <c r="C38" s="11"/>
      <c r="D38" s="50"/>
      <c r="E38" s="29"/>
      <c r="F38" s="29"/>
      <c r="G38" s="29"/>
      <c r="H38" s="29"/>
      <c r="I38" s="29"/>
      <c r="J38" s="29"/>
      <c r="K38" s="29"/>
      <c r="L38" s="29"/>
      <c r="M38" s="26"/>
      <c r="N38" s="26"/>
      <c r="O38" s="26"/>
      <c r="P38" s="26"/>
      <c r="Q38" s="26"/>
      <c r="R38" s="26"/>
      <c r="S38" s="27"/>
      <c r="T38" s="27"/>
      <c r="U38" s="27"/>
      <c r="V38" s="27"/>
      <c r="W38" s="27"/>
      <c r="X38" s="27"/>
      <c r="Y38" s="27"/>
      <c r="Z38" s="27"/>
      <c r="AA38" s="27"/>
    </row>
    <row r="39" spans="2:27" x14ac:dyDescent="0.25">
      <c r="B39" s="25" t="s">
        <v>44</v>
      </c>
      <c r="C39" s="11" t="s">
        <v>34</v>
      </c>
      <c r="D39" s="50">
        <f>(D20+D21)/200</f>
        <v>2.5</v>
      </c>
      <c r="E39" s="50">
        <f t="shared" ref="E39:L39" si="11">(E20+E21)/200</f>
        <v>2.5</v>
      </c>
      <c r="F39" s="50">
        <f t="shared" si="11"/>
        <v>0</v>
      </c>
      <c r="G39" s="50">
        <f t="shared" si="11"/>
        <v>0</v>
      </c>
      <c r="H39" s="50">
        <f t="shared" si="11"/>
        <v>0</v>
      </c>
      <c r="I39" s="50">
        <f t="shared" si="11"/>
        <v>0</v>
      </c>
      <c r="J39" s="50">
        <f t="shared" si="11"/>
        <v>0</v>
      </c>
      <c r="K39" s="50">
        <f t="shared" si="11"/>
        <v>0</v>
      </c>
      <c r="L39" s="50">
        <f t="shared" si="11"/>
        <v>0</v>
      </c>
      <c r="M39" s="26"/>
      <c r="N39" s="26"/>
      <c r="O39" s="26"/>
      <c r="P39" s="26"/>
      <c r="Q39" s="26"/>
      <c r="R39" s="26"/>
      <c r="S39" s="27"/>
      <c r="T39" s="27"/>
      <c r="U39" s="27"/>
      <c r="V39" s="27"/>
      <c r="W39" s="27"/>
      <c r="X39" s="27"/>
      <c r="Y39" s="27"/>
      <c r="Z39" s="27"/>
      <c r="AA39" s="27"/>
    </row>
    <row r="40" spans="2:27" x14ac:dyDescent="0.25">
      <c r="B40" s="25" t="s">
        <v>40</v>
      </c>
      <c r="C40" s="11" t="s">
        <v>34</v>
      </c>
      <c r="D40" s="50">
        <f>2*1</f>
        <v>2</v>
      </c>
      <c r="E40" s="50">
        <f t="shared" ref="E40:F40" si="12">2*1</f>
        <v>2</v>
      </c>
      <c r="F40" s="50">
        <f t="shared" si="12"/>
        <v>2</v>
      </c>
      <c r="G40" s="29"/>
      <c r="H40" s="29"/>
      <c r="I40" s="29"/>
      <c r="J40" s="29"/>
      <c r="K40" s="29"/>
      <c r="L40" s="29"/>
      <c r="M40" s="26"/>
      <c r="N40" s="26"/>
      <c r="O40" s="26"/>
      <c r="P40" s="26"/>
      <c r="Q40" s="26"/>
      <c r="R40" s="26"/>
      <c r="S40" s="27"/>
      <c r="T40" s="27"/>
      <c r="U40" s="27"/>
      <c r="V40" s="27"/>
      <c r="W40" s="27"/>
      <c r="X40" s="27"/>
      <c r="Y40" s="27"/>
      <c r="Z40" s="27"/>
      <c r="AA40" s="27"/>
    </row>
    <row r="41" spans="2:27" x14ac:dyDescent="0.25">
      <c r="B41" s="25" t="s">
        <v>91</v>
      </c>
      <c r="C41" s="11" t="s">
        <v>34</v>
      </c>
      <c r="D41" s="29"/>
      <c r="E41" s="29"/>
      <c r="F41" s="29"/>
      <c r="G41" s="29">
        <v>3</v>
      </c>
      <c r="H41" s="29"/>
      <c r="I41" s="29"/>
      <c r="J41" s="29"/>
      <c r="K41" s="29"/>
      <c r="L41" s="29"/>
      <c r="M41" s="26"/>
      <c r="N41" s="26"/>
      <c r="O41" s="26"/>
      <c r="P41" s="26"/>
      <c r="Q41" s="26"/>
      <c r="R41" s="26"/>
      <c r="S41" s="27"/>
      <c r="T41" s="27"/>
      <c r="U41" s="27"/>
      <c r="V41" s="27"/>
      <c r="W41" s="27"/>
      <c r="X41" s="27"/>
      <c r="Y41" s="27"/>
      <c r="Z41" s="27"/>
      <c r="AA41" s="27"/>
    </row>
    <row r="42" spans="2:27" x14ac:dyDescent="0.25">
      <c r="B42" s="25" t="s">
        <v>92</v>
      </c>
      <c r="C42" s="11" t="s">
        <v>34</v>
      </c>
      <c r="D42" s="29"/>
      <c r="E42" s="29"/>
      <c r="F42" s="29"/>
      <c r="G42" s="29"/>
      <c r="H42" s="29"/>
      <c r="I42" s="29">
        <v>10</v>
      </c>
      <c r="J42" s="29"/>
      <c r="K42" s="29"/>
      <c r="L42" s="29"/>
      <c r="M42" s="26"/>
      <c r="N42" s="26"/>
      <c r="O42" s="26"/>
      <c r="P42" s="26"/>
      <c r="Q42" s="26"/>
      <c r="R42" s="26"/>
      <c r="S42" s="27"/>
      <c r="T42" s="27"/>
      <c r="U42" s="27"/>
      <c r="V42" s="27"/>
      <c r="W42" s="27"/>
      <c r="X42" s="27"/>
      <c r="Y42" s="27"/>
      <c r="Z42" s="27"/>
      <c r="AA42" s="27"/>
    </row>
    <row r="43" spans="2:27" x14ac:dyDescent="0.25">
      <c r="B43" s="25" t="s">
        <v>43</v>
      </c>
      <c r="C43" s="11" t="s">
        <v>34</v>
      </c>
      <c r="D43" s="29"/>
      <c r="E43" s="29"/>
      <c r="F43" s="29"/>
      <c r="G43" s="29"/>
      <c r="H43" s="29"/>
      <c r="I43" s="29"/>
      <c r="J43" s="29"/>
      <c r="K43" s="29">
        <f>(K49+K50)/20</f>
        <v>21.75</v>
      </c>
      <c r="L43" s="29">
        <f>(L49+L50)/20</f>
        <v>21.75</v>
      </c>
      <c r="M43" s="26"/>
      <c r="N43" s="26"/>
      <c r="O43" s="26"/>
      <c r="P43" s="26"/>
      <c r="Q43" s="26"/>
      <c r="R43" s="26"/>
      <c r="S43" s="27"/>
      <c r="T43" s="27"/>
      <c r="U43" s="27"/>
      <c r="V43" s="27"/>
      <c r="W43" s="27"/>
      <c r="X43" s="27"/>
      <c r="Y43" s="27"/>
      <c r="Z43" s="27"/>
      <c r="AA43" s="27"/>
    </row>
    <row r="44" spans="2:27" x14ac:dyDescent="0.25">
      <c r="B44" s="25"/>
      <c r="C44" s="11"/>
      <c r="D44" s="29"/>
      <c r="E44" s="29"/>
      <c r="F44" s="29"/>
      <c r="G44" s="29"/>
      <c r="H44" s="29"/>
      <c r="I44" s="29"/>
      <c r="J44" s="29"/>
      <c r="K44" s="29"/>
      <c r="L44" s="29"/>
      <c r="M44" s="26"/>
      <c r="N44" s="26"/>
      <c r="O44" s="26"/>
      <c r="P44" s="26"/>
      <c r="Q44" s="26"/>
      <c r="R44" s="26"/>
      <c r="S44" s="27"/>
      <c r="T44" s="27"/>
      <c r="U44" s="27"/>
      <c r="V44" s="27"/>
      <c r="W44" s="27"/>
      <c r="X44" s="27"/>
      <c r="Y44" s="27"/>
      <c r="Z44" s="27"/>
      <c r="AA44" s="27"/>
    </row>
    <row r="45" spans="2:27" x14ac:dyDescent="0.25">
      <c r="B45" s="68"/>
      <c r="C45" s="11"/>
      <c r="D45" s="29"/>
      <c r="E45" s="29"/>
      <c r="F45" s="29"/>
      <c r="G45" s="29"/>
      <c r="H45" s="51"/>
      <c r="I45" s="51"/>
      <c r="J45" s="51"/>
      <c r="K45" s="51"/>
      <c r="L45" s="51"/>
      <c r="M45" s="26"/>
      <c r="N45" s="26"/>
      <c r="O45" s="26"/>
      <c r="P45" s="26"/>
      <c r="Q45" s="26"/>
      <c r="R45" s="27"/>
      <c r="S45" s="27"/>
      <c r="T45" s="27"/>
      <c r="U45" s="27"/>
      <c r="V45" s="27"/>
      <c r="W45" s="27"/>
      <c r="X45" s="27"/>
      <c r="Y45" s="27"/>
      <c r="Z45" s="27"/>
    </row>
    <row r="46" spans="2:27" x14ac:dyDescent="0.25">
      <c r="B46" s="53"/>
      <c r="C46" s="11"/>
      <c r="D46" s="29"/>
      <c r="E46" s="29"/>
      <c r="F46" s="29"/>
      <c r="G46" s="29"/>
      <c r="H46" s="29"/>
      <c r="I46" s="29"/>
      <c r="J46" s="29"/>
      <c r="K46" s="29"/>
      <c r="L46" s="29"/>
      <c r="M46" s="26"/>
      <c r="N46" s="26"/>
      <c r="O46" s="26"/>
      <c r="P46" s="26"/>
      <c r="Q46" s="26"/>
      <c r="R46" s="26"/>
      <c r="S46" s="27"/>
      <c r="T46" s="27"/>
      <c r="U46" s="27"/>
      <c r="V46" s="27"/>
      <c r="W46" s="27"/>
      <c r="X46" s="27"/>
      <c r="Y46" s="27"/>
      <c r="Z46" s="27"/>
      <c r="AA46" s="27"/>
    </row>
    <row r="47" spans="2:27" x14ac:dyDescent="0.25">
      <c r="B47" s="31" t="s">
        <v>24</v>
      </c>
      <c r="C47" s="22"/>
      <c r="D47" s="33"/>
      <c r="E47" s="33"/>
      <c r="F47" s="33"/>
      <c r="G47" s="33"/>
      <c r="H47" s="33"/>
      <c r="I47" s="33"/>
      <c r="J47" s="33"/>
      <c r="K47" s="33"/>
      <c r="L47" s="33"/>
      <c r="M47" s="26"/>
      <c r="N47" s="26"/>
      <c r="O47" s="26"/>
      <c r="P47" s="26"/>
      <c r="Q47" s="26"/>
      <c r="R47" s="26"/>
      <c r="S47" s="27"/>
      <c r="T47" s="27"/>
      <c r="U47" s="27"/>
      <c r="V47" s="27"/>
      <c r="W47" s="27"/>
      <c r="X47" s="27"/>
      <c r="Y47" s="27"/>
      <c r="Z47" s="27"/>
      <c r="AA47" s="27"/>
    </row>
    <row r="48" spans="2:27" x14ac:dyDescent="0.25">
      <c r="B48" s="10" t="s">
        <v>75</v>
      </c>
      <c r="C48" s="11" t="s">
        <v>2</v>
      </c>
      <c r="D48" s="29">
        <f>2500*2</f>
        <v>5000</v>
      </c>
      <c r="E48" s="29">
        <f t="shared" ref="E48:F48" si="13">2500*2</f>
        <v>5000</v>
      </c>
      <c r="F48" s="29">
        <f t="shared" si="13"/>
        <v>5000</v>
      </c>
      <c r="G48" s="29"/>
      <c r="H48" s="29"/>
      <c r="I48" s="29"/>
      <c r="J48" s="29"/>
      <c r="K48" s="29"/>
      <c r="L48" s="29"/>
    </row>
    <row r="49" spans="2:27" x14ac:dyDescent="0.25">
      <c r="B49" s="10" t="s">
        <v>76</v>
      </c>
      <c r="C49" s="11" t="s">
        <v>78</v>
      </c>
      <c r="D49" s="29"/>
      <c r="E49" s="29"/>
      <c r="F49" s="29"/>
      <c r="G49" s="29"/>
      <c r="H49" s="29"/>
      <c r="I49" s="29"/>
      <c r="J49" s="29"/>
      <c r="K49" s="29">
        <f>D20-50-15</f>
        <v>435</v>
      </c>
      <c r="L49" s="29"/>
      <c r="M49" s="26"/>
      <c r="N49" s="4"/>
      <c r="O49" s="1"/>
      <c r="P49" s="1"/>
      <c r="Q49" s="1"/>
      <c r="R49" s="1"/>
    </row>
    <row r="50" spans="2:27" x14ac:dyDescent="0.25">
      <c r="B50" s="10" t="s">
        <v>77</v>
      </c>
      <c r="C50" s="52" t="s">
        <v>78</v>
      </c>
      <c r="D50" s="29"/>
      <c r="E50" s="29"/>
      <c r="F50" s="29"/>
      <c r="G50" s="29"/>
      <c r="H50" s="29"/>
      <c r="I50" s="29"/>
      <c r="J50" s="29"/>
      <c r="L50" s="29">
        <f>E21-50-15</f>
        <v>435</v>
      </c>
      <c r="M50" s="1"/>
      <c r="N50" s="1"/>
      <c r="O50" s="1"/>
      <c r="P50" s="1"/>
      <c r="Q50" s="1"/>
      <c r="R50" s="1"/>
    </row>
    <row r="51" spans="2:27" x14ac:dyDescent="0.25">
      <c r="B51" s="10" t="s">
        <v>104</v>
      </c>
      <c r="C51" s="52" t="s">
        <v>105</v>
      </c>
      <c r="D51" s="29"/>
      <c r="E51" s="29"/>
      <c r="F51" s="29"/>
      <c r="G51" s="29"/>
      <c r="H51" s="29"/>
      <c r="I51" s="29">
        <v>2</v>
      </c>
      <c r="J51" s="29"/>
      <c r="K51" s="29"/>
      <c r="L51" s="29"/>
      <c r="M51" s="1"/>
      <c r="N51" s="1"/>
      <c r="O51" s="1"/>
      <c r="P51" s="1"/>
      <c r="Q51" s="1"/>
      <c r="R51" s="1"/>
    </row>
    <row r="52" spans="2:27" x14ac:dyDescent="0.25">
      <c r="B52" s="10"/>
      <c r="C52" s="11"/>
      <c r="D52" s="29"/>
      <c r="E52" s="29"/>
      <c r="F52" s="29"/>
      <c r="G52" s="29"/>
      <c r="H52" s="29"/>
      <c r="I52" s="29"/>
      <c r="J52" s="29"/>
      <c r="K52" s="29"/>
      <c r="L52" s="29"/>
      <c r="M52" s="26"/>
      <c r="N52" s="26"/>
      <c r="O52" s="26"/>
      <c r="P52" s="26"/>
      <c r="Q52" s="26"/>
      <c r="R52" s="26"/>
      <c r="S52" s="27"/>
      <c r="T52" s="27"/>
      <c r="U52" s="27"/>
      <c r="V52" s="27"/>
      <c r="W52" s="27"/>
      <c r="X52" s="27"/>
      <c r="Y52" s="27"/>
      <c r="Z52" s="27"/>
      <c r="AA52" s="27"/>
    </row>
    <row r="53" spans="2:27" x14ac:dyDescent="0.25">
      <c r="B53" s="35"/>
      <c r="C53" s="11"/>
      <c r="D53" s="29"/>
      <c r="E53" s="29"/>
      <c r="F53" s="29"/>
      <c r="G53" s="29"/>
      <c r="H53" s="29"/>
      <c r="I53" s="29"/>
      <c r="J53" s="29"/>
      <c r="K53" s="29"/>
      <c r="L53" s="29"/>
    </row>
    <row r="55" spans="2:27" x14ac:dyDescent="0.25">
      <c r="B55" s="1" t="s">
        <v>48</v>
      </c>
      <c r="D55" s="20">
        <f t="shared" ref="D55:L55" si="14">SUM(D28:D45)</f>
        <v>60.214285714285708</v>
      </c>
      <c r="E55" s="20">
        <f t="shared" si="14"/>
        <v>58.214285714285708</v>
      </c>
      <c r="F55" s="20">
        <f t="shared" si="14"/>
        <v>55.714285714285708</v>
      </c>
      <c r="G55" s="20">
        <f t="shared" si="14"/>
        <v>3</v>
      </c>
      <c r="H55" s="20">
        <f t="shared" si="14"/>
        <v>0</v>
      </c>
      <c r="I55" s="20">
        <f t="shared" si="14"/>
        <v>10</v>
      </c>
      <c r="J55" s="20">
        <f t="shared" si="14"/>
        <v>0</v>
      </c>
      <c r="K55" s="20">
        <f t="shared" si="14"/>
        <v>21.75</v>
      </c>
      <c r="L55" s="20">
        <f t="shared" si="14"/>
        <v>21.75</v>
      </c>
    </row>
    <row r="56" spans="2:27" x14ac:dyDescent="0.25">
      <c r="B56" s="54" t="s">
        <v>46</v>
      </c>
      <c r="C56" s="54" t="s">
        <v>47</v>
      </c>
      <c r="D56" s="20">
        <f>SUM(D55:K55)</f>
        <v>208.89285714285711</v>
      </c>
    </row>
    <row r="57" spans="2:27" x14ac:dyDescent="0.25">
      <c r="B57" s="1" t="s">
        <v>95</v>
      </c>
      <c r="C57" s="54" t="s">
        <v>96</v>
      </c>
      <c r="D57" s="20">
        <f>AVERAGE(D55:K55)</f>
        <v>26.111607142857139</v>
      </c>
    </row>
    <row r="58" spans="2:27" x14ac:dyDescent="0.25">
      <c r="B58" s="55"/>
      <c r="C58" s="56"/>
      <c r="D58" s="54"/>
      <c r="F58" s="2"/>
      <c r="G58" s="2"/>
      <c r="H58" s="2"/>
      <c r="I58" s="2"/>
      <c r="J58" s="2"/>
      <c r="K58" s="2"/>
      <c r="L58" s="2"/>
      <c r="M58" s="1"/>
      <c r="N58" s="1"/>
      <c r="O58" s="1"/>
      <c r="P58" s="1"/>
      <c r="Q58" s="1"/>
      <c r="R58" s="1"/>
    </row>
    <row r="59" spans="2:27" x14ac:dyDescent="0.25">
      <c r="B59" s="55"/>
      <c r="C59" s="56"/>
      <c r="D59" s="1"/>
      <c r="F59" s="2"/>
      <c r="G59" s="2"/>
      <c r="H59" s="2"/>
      <c r="I59" s="2"/>
      <c r="J59" s="2"/>
      <c r="K59" s="2"/>
      <c r="L59" s="2"/>
      <c r="M59" s="1"/>
      <c r="N59" s="1"/>
      <c r="O59" s="1"/>
      <c r="P59" s="1"/>
      <c r="Q59" s="1"/>
      <c r="R59" s="1"/>
    </row>
    <row r="60" spans="2:27" x14ac:dyDescent="0.25">
      <c r="B60" s="55"/>
      <c r="C60" s="56"/>
      <c r="D60" s="57"/>
      <c r="F60" s="2"/>
      <c r="G60" s="2"/>
      <c r="H60" s="2"/>
      <c r="I60" s="2"/>
      <c r="J60" s="2"/>
      <c r="K60" s="2"/>
      <c r="L60" s="2"/>
      <c r="M60" s="1"/>
      <c r="N60" s="1"/>
      <c r="O60" s="1"/>
      <c r="P60" s="1"/>
      <c r="Q60" s="1"/>
      <c r="R60" s="1"/>
    </row>
    <row r="61" spans="2:27" x14ac:dyDescent="0.25">
      <c r="B61" s="55"/>
      <c r="C61" s="56"/>
      <c r="D61" s="57"/>
      <c r="F61" s="2"/>
      <c r="G61" s="2"/>
      <c r="H61" s="2"/>
      <c r="I61" s="2"/>
      <c r="J61" s="2"/>
      <c r="K61" s="2"/>
      <c r="L61" s="2"/>
      <c r="M61" s="1"/>
      <c r="N61" s="1"/>
      <c r="O61" s="1"/>
      <c r="P61" s="1"/>
      <c r="Q61" s="1"/>
      <c r="R61" s="1"/>
    </row>
    <row r="62" spans="2:27" x14ac:dyDescent="0.25">
      <c r="B62" s="55"/>
      <c r="C62" s="56"/>
      <c r="D62" s="57"/>
      <c r="F62" s="2"/>
      <c r="G62" s="2"/>
      <c r="H62" s="2"/>
      <c r="I62" s="2"/>
      <c r="J62" s="2"/>
      <c r="K62" s="2"/>
      <c r="L62" s="2"/>
      <c r="M62" s="1"/>
      <c r="N62" s="1"/>
      <c r="O62" s="1"/>
      <c r="P62" s="1"/>
      <c r="Q62" s="1"/>
      <c r="R62" s="1"/>
    </row>
    <row r="63" spans="2:27" x14ac:dyDescent="0.25">
      <c r="B63" s="55"/>
      <c r="C63" s="56"/>
      <c r="D63" s="57"/>
      <c r="F63" s="2"/>
      <c r="G63" s="2"/>
      <c r="H63" s="2"/>
      <c r="I63" s="2"/>
      <c r="J63" s="2"/>
      <c r="K63" s="2"/>
      <c r="L63" s="2"/>
      <c r="M63" s="1"/>
      <c r="N63" s="1"/>
      <c r="O63" s="1"/>
      <c r="P63" s="1"/>
      <c r="Q63" s="1"/>
      <c r="R63" s="1"/>
    </row>
    <row r="64" spans="2:27" x14ac:dyDescent="0.25">
      <c r="B64" s="58"/>
      <c r="C64" s="57"/>
      <c r="D64" s="57"/>
    </row>
    <row r="65" spans="2:4" x14ac:dyDescent="0.25">
      <c r="B65" s="66"/>
      <c r="C65" s="67"/>
      <c r="D65" s="54"/>
    </row>
    <row r="66" spans="2:4" x14ac:dyDescent="0.25">
      <c r="B66" s="66"/>
    </row>
    <row r="67" spans="2:4" x14ac:dyDescent="0.25">
      <c r="B67" s="66"/>
    </row>
    <row r="68" spans="2:4" x14ac:dyDescent="0.25">
      <c r="B68" s="66"/>
    </row>
    <row r="78" spans="2:4" x14ac:dyDescent="0.25">
      <c r="D78" s="45"/>
    </row>
  </sheetData>
  <mergeCells count="11">
    <mergeCell ref="L4:L5"/>
    <mergeCell ref="B4:B6"/>
    <mergeCell ref="F4:F5"/>
    <mergeCell ref="C4:C5"/>
    <mergeCell ref="D4:D5"/>
    <mergeCell ref="E4:E5"/>
    <mergeCell ref="G4:G5"/>
    <mergeCell ref="H4:H5"/>
    <mergeCell ref="I4:I5"/>
    <mergeCell ref="J4:J5"/>
    <mergeCell ref="K4:K5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J54"/>
  <sheetViews>
    <sheetView tabSelected="1" topLeftCell="B1" zoomScale="85" zoomScaleNormal="85" workbookViewId="0">
      <pane xSplit="2" ySplit="5" topLeftCell="D21" activePane="bottomRight" state="frozen"/>
      <selection activeCell="B1" sqref="B1"/>
      <selection pane="topRight" activeCell="D1" sqref="D1"/>
      <selection pane="bottomLeft" activeCell="B6" sqref="B6"/>
      <selection pane="bottomRight" activeCell="C31" sqref="C31:E37"/>
    </sheetView>
  </sheetViews>
  <sheetFormatPr defaultRowHeight="15" x14ac:dyDescent="0.25"/>
  <cols>
    <col min="1" max="2" width="9.140625" style="1"/>
    <col min="3" max="3" width="33.42578125" style="1" bestFit="1" customWidth="1"/>
    <col min="4" max="4" width="14.5703125" style="2" customWidth="1"/>
    <col min="5" max="5" width="16.42578125" style="2" customWidth="1"/>
    <col min="6" max="6" width="16.7109375" style="2" customWidth="1"/>
    <col min="7" max="16384" width="9.140625" style="1"/>
  </cols>
  <sheetData>
    <row r="1" spans="3:10" s="39" customFormat="1" ht="18.75" x14ac:dyDescent="0.3">
      <c r="C1" s="36" t="s">
        <v>18</v>
      </c>
      <c r="D1" s="37"/>
      <c r="E1" s="37"/>
      <c r="F1" s="37"/>
    </row>
    <row r="2" spans="3:10" s="39" customFormat="1" x14ac:dyDescent="0.25">
      <c r="C2" s="39" t="str">
        <f>IO!B2</f>
        <v>Timbergarden</v>
      </c>
      <c r="D2" s="37"/>
      <c r="E2" s="37"/>
      <c r="F2" s="37"/>
    </row>
    <row r="3" spans="3:10" s="39" customFormat="1" ht="13.5" customHeight="1" x14ac:dyDescent="0.25">
      <c r="D3" s="37"/>
      <c r="E3" s="37"/>
      <c r="F3" s="37"/>
    </row>
    <row r="4" spans="3:10" s="39" customFormat="1" ht="13.5" customHeight="1" x14ac:dyDescent="0.25">
      <c r="C4" s="101" t="s">
        <v>38</v>
      </c>
      <c r="D4" s="104" t="s">
        <v>0</v>
      </c>
      <c r="E4" s="106" t="s">
        <v>28</v>
      </c>
      <c r="F4" s="106"/>
    </row>
    <row r="5" spans="3:10" s="39" customFormat="1" x14ac:dyDescent="0.25">
      <c r="C5" s="103"/>
      <c r="D5" s="105"/>
      <c r="E5" s="106"/>
      <c r="F5" s="106"/>
    </row>
    <row r="6" spans="3:10" x14ac:dyDescent="0.25">
      <c r="C6" s="31" t="s">
        <v>3</v>
      </c>
      <c r="D6" s="22"/>
      <c r="E6" s="32"/>
      <c r="F6" s="32"/>
    </row>
    <row r="7" spans="3:10" x14ac:dyDescent="0.25">
      <c r="C7" s="9" t="s">
        <v>26</v>
      </c>
      <c r="D7" s="11"/>
      <c r="E7" s="29"/>
      <c r="F7" s="29"/>
    </row>
    <row r="8" spans="3:10" x14ac:dyDescent="0.25">
      <c r="C8" s="25" t="s">
        <v>7</v>
      </c>
      <c r="D8" s="11" t="s">
        <v>4</v>
      </c>
      <c r="E8" s="29">
        <f>80000/50</f>
        <v>1600</v>
      </c>
      <c r="F8" s="64"/>
    </row>
    <row r="9" spans="3:10" s="4" customFormat="1" x14ac:dyDescent="0.25">
      <c r="C9" s="25" t="s">
        <v>80</v>
      </c>
      <c r="D9" s="11" t="s">
        <v>4</v>
      </c>
      <c r="E9" s="29">
        <f t="shared" ref="E9:E12" si="0">80000/50</f>
        <v>1600</v>
      </c>
      <c r="F9" s="64"/>
    </row>
    <row r="10" spans="3:10" x14ac:dyDescent="0.25">
      <c r="C10" s="25" t="s">
        <v>81</v>
      </c>
      <c r="D10" s="11" t="s">
        <v>4</v>
      </c>
      <c r="E10" s="29">
        <f t="shared" si="0"/>
        <v>1600</v>
      </c>
      <c r="F10" s="64"/>
    </row>
    <row r="11" spans="3:10" x14ac:dyDescent="0.25">
      <c r="C11" s="25" t="s">
        <v>82</v>
      </c>
      <c r="D11" s="11" t="s">
        <v>4</v>
      </c>
      <c r="E11" s="29">
        <f t="shared" si="0"/>
        <v>1600</v>
      </c>
      <c r="F11" s="64"/>
    </row>
    <row r="12" spans="3:10" x14ac:dyDescent="0.25">
      <c r="C12" s="25" t="s">
        <v>80</v>
      </c>
      <c r="D12" s="11" t="s">
        <v>4</v>
      </c>
      <c r="E12" s="29">
        <f t="shared" si="0"/>
        <v>1600</v>
      </c>
      <c r="F12" s="64"/>
      <c r="J12" s="4"/>
    </row>
    <row r="13" spans="3:10" x14ac:dyDescent="0.25">
      <c r="C13" s="9"/>
      <c r="D13" s="11"/>
      <c r="E13" s="29"/>
      <c r="F13" s="29"/>
    </row>
    <row r="14" spans="3:10" x14ac:dyDescent="0.25">
      <c r="C14" s="9" t="s">
        <v>27</v>
      </c>
      <c r="D14" s="11"/>
      <c r="E14" s="29"/>
      <c r="F14" s="29"/>
    </row>
    <row r="15" spans="3:10" x14ac:dyDescent="0.25">
      <c r="C15" s="25" t="s">
        <v>84</v>
      </c>
      <c r="D15" s="11" t="s">
        <v>93</v>
      </c>
      <c r="E15" s="29">
        <v>50000</v>
      </c>
      <c r="F15" s="29"/>
    </row>
    <row r="16" spans="3:10" x14ac:dyDescent="0.25">
      <c r="C16" s="25" t="s">
        <v>85</v>
      </c>
      <c r="D16" s="11" t="s">
        <v>93</v>
      </c>
      <c r="E16" s="29">
        <v>50000</v>
      </c>
      <c r="F16" s="29"/>
    </row>
    <row r="17" spans="3:6" x14ac:dyDescent="0.25">
      <c r="C17" s="9"/>
      <c r="D17" s="11"/>
      <c r="E17" s="29"/>
      <c r="F17" s="29"/>
    </row>
    <row r="18" spans="3:6" x14ac:dyDescent="0.25">
      <c r="C18" s="9" t="s">
        <v>29</v>
      </c>
      <c r="D18" s="11"/>
      <c r="E18" s="29"/>
      <c r="F18" s="29"/>
    </row>
    <row r="19" spans="3:6" x14ac:dyDescent="0.25">
      <c r="C19" s="25" t="s">
        <v>75</v>
      </c>
      <c r="D19" s="11" t="s">
        <v>4</v>
      </c>
      <c r="E19" s="29">
        <v>43000</v>
      </c>
      <c r="F19" s="29"/>
    </row>
    <row r="20" spans="3:6" x14ac:dyDescent="0.25">
      <c r="C20" s="25" t="s">
        <v>83</v>
      </c>
      <c r="D20" s="11" t="s">
        <v>94</v>
      </c>
      <c r="E20" s="29">
        <v>500</v>
      </c>
      <c r="F20" s="29"/>
    </row>
    <row r="21" spans="3:6" x14ac:dyDescent="0.25">
      <c r="C21" s="25" t="s">
        <v>87</v>
      </c>
      <c r="D21" s="11" t="s">
        <v>94</v>
      </c>
      <c r="E21" s="29">
        <v>500</v>
      </c>
      <c r="F21" s="29"/>
    </row>
    <row r="22" spans="3:6" x14ac:dyDescent="0.25">
      <c r="C22" s="25"/>
      <c r="D22" s="11"/>
      <c r="E22" s="29"/>
      <c r="F22" s="29"/>
    </row>
    <row r="23" spans="3:6" x14ac:dyDescent="0.25">
      <c r="C23" s="9" t="s">
        <v>30</v>
      </c>
      <c r="D23" s="11"/>
      <c r="E23" s="29"/>
      <c r="F23" s="29"/>
    </row>
    <row r="24" spans="3:6" x14ac:dyDescent="0.25">
      <c r="C24" s="25" t="s">
        <v>67</v>
      </c>
      <c r="D24" s="11" t="s">
        <v>5</v>
      </c>
      <c r="E24" s="29">
        <v>50000</v>
      </c>
      <c r="F24" s="29"/>
    </row>
    <row r="25" spans="3:6" x14ac:dyDescent="0.25">
      <c r="C25" s="25" t="s">
        <v>64</v>
      </c>
      <c r="D25" s="11" t="s">
        <v>5</v>
      </c>
      <c r="E25" s="29">
        <v>200000</v>
      </c>
      <c r="F25" s="29"/>
    </row>
    <row r="26" spans="3:6" x14ac:dyDescent="0.25">
      <c r="C26" s="25" t="s">
        <v>32</v>
      </c>
      <c r="D26" s="11" t="s">
        <v>5</v>
      </c>
      <c r="E26" s="29">
        <v>50000</v>
      </c>
      <c r="F26" s="29"/>
    </row>
    <row r="27" spans="3:6" x14ac:dyDescent="0.25">
      <c r="C27" s="25" t="s">
        <v>33</v>
      </c>
      <c r="D27" s="11" t="s">
        <v>5</v>
      </c>
      <c r="E27" s="29">
        <v>30000</v>
      </c>
      <c r="F27" s="29"/>
    </row>
    <row r="28" spans="3:6" x14ac:dyDescent="0.25">
      <c r="C28" s="47"/>
      <c r="D28" s="11"/>
      <c r="E28" s="29"/>
      <c r="F28" s="29"/>
    </row>
    <row r="29" spans="3:6" x14ac:dyDescent="0.25">
      <c r="C29" s="47" t="s">
        <v>31</v>
      </c>
      <c r="D29" s="11"/>
      <c r="E29" s="29"/>
      <c r="F29" s="29"/>
    </row>
    <row r="30" spans="3:6" x14ac:dyDescent="0.25">
      <c r="C30" s="10" t="s">
        <v>75</v>
      </c>
      <c r="D30" s="11"/>
      <c r="E30" s="29"/>
      <c r="F30" s="29"/>
    </row>
    <row r="31" spans="3:6" x14ac:dyDescent="0.25">
      <c r="C31" s="25" t="s">
        <v>45</v>
      </c>
      <c r="D31" s="11" t="s">
        <v>17</v>
      </c>
      <c r="E31" s="29">
        <f>Summary!$D$11</f>
        <v>30000</v>
      </c>
      <c r="F31" s="29"/>
    </row>
    <row r="32" spans="3:6" x14ac:dyDescent="0.25">
      <c r="C32" s="25" t="s">
        <v>41</v>
      </c>
      <c r="D32" s="11" t="s">
        <v>17</v>
      </c>
      <c r="E32" s="29">
        <f>Summary!$D$11</f>
        <v>30000</v>
      </c>
      <c r="F32" s="29"/>
    </row>
    <row r="33" spans="3:6" x14ac:dyDescent="0.25">
      <c r="C33" s="25" t="s">
        <v>40</v>
      </c>
      <c r="D33" s="11" t="s">
        <v>17</v>
      </c>
      <c r="E33" s="29">
        <f>Summary!$D$11</f>
        <v>30000</v>
      </c>
      <c r="F33" s="29"/>
    </row>
    <row r="34" spans="3:6" x14ac:dyDescent="0.25">
      <c r="C34" s="25" t="s">
        <v>63</v>
      </c>
      <c r="D34" s="11" t="s">
        <v>17</v>
      </c>
      <c r="E34" s="29">
        <f>Summary!$D$11</f>
        <v>30000</v>
      </c>
      <c r="F34" s="29"/>
    </row>
    <row r="35" spans="3:6" x14ac:dyDescent="0.25">
      <c r="C35" s="25" t="s">
        <v>42</v>
      </c>
      <c r="D35" s="11" t="s">
        <v>17</v>
      </c>
      <c r="E35" s="29">
        <f>Summary!$D$11</f>
        <v>30000</v>
      </c>
      <c r="F35" s="29"/>
    </row>
    <row r="36" spans="3:6" x14ac:dyDescent="0.25">
      <c r="C36" s="25" t="s">
        <v>88</v>
      </c>
      <c r="D36" s="11" t="s">
        <v>17</v>
      </c>
      <c r="E36" s="29">
        <f>Summary!$D$11</f>
        <v>30000</v>
      </c>
      <c r="F36" s="29"/>
    </row>
    <row r="37" spans="3:6" x14ac:dyDescent="0.25">
      <c r="C37" s="25" t="s">
        <v>89</v>
      </c>
      <c r="D37" s="11" t="s">
        <v>17</v>
      </c>
      <c r="E37" s="29">
        <f>Summary!$D$11</f>
        <v>30000</v>
      </c>
      <c r="F37" s="29"/>
    </row>
    <row r="38" spans="3:6" x14ac:dyDescent="0.25">
      <c r="C38" s="10" t="s">
        <v>90</v>
      </c>
      <c r="D38" s="11"/>
      <c r="E38" s="29"/>
      <c r="F38" s="29"/>
    </row>
    <row r="39" spans="3:6" x14ac:dyDescent="0.25">
      <c r="C39" s="25" t="s">
        <v>44</v>
      </c>
      <c r="D39" s="11" t="s">
        <v>17</v>
      </c>
      <c r="E39" s="29">
        <f>Summary!$D$11</f>
        <v>30000</v>
      </c>
      <c r="F39" s="29"/>
    </row>
    <row r="40" spans="3:6" x14ac:dyDescent="0.25">
      <c r="C40" s="25" t="s">
        <v>40</v>
      </c>
      <c r="D40" s="11" t="s">
        <v>17</v>
      </c>
      <c r="E40" s="29">
        <f>Summary!$D$11</f>
        <v>30000</v>
      </c>
      <c r="F40" s="29"/>
    </row>
    <row r="41" spans="3:6" x14ac:dyDescent="0.25">
      <c r="C41" s="25" t="s">
        <v>91</v>
      </c>
      <c r="D41" s="11" t="s">
        <v>17</v>
      </c>
      <c r="E41" s="29">
        <f>Summary!$D$11</f>
        <v>30000</v>
      </c>
      <c r="F41" s="29"/>
    </row>
    <row r="42" spans="3:6" x14ac:dyDescent="0.25">
      <c r="C42" s="25" t="s">
        <v>92</v>
      </c>
      <c r="D42" s="11" t="s">
        <v>17</v>
      </c>
      <c r="E42" s="29">
        <f>Summary!$D$11</f>
        <v>30000</v>
      </c>
      <c r="F42" s="29"/>
    </row>
    <row r="43" spans="3:6" x14ac:dyDescent="0.25">
      <c r="C43" s="25" t="s">
        <v>43</v>
      </c>
      <c r="D43" s="11" t="s">
        <v>17</v>
      </c>
      <c r="E43" s="29">
        <f>Summary!$D$11</f>
        <v>30000</v>
      </c>
      <c r="F43" s="29"/>
    </row>
    <row r="44" spans="3:6" x14ac:dyDescent="0.25">
      <c r="C44" s="46"/>
      <c r="D44" s="11"/>
      <c r="E44" s="29"/>
      <c r="F44" s="29"/>
    </row>
    <row r="45" spans="3:6" x14ac:dyDescent="0.25">
      <c r="C45" s="53"/>
      <c r="D45" s="11"/>
      <c r="E45" s="29"/>
      <c r="F45" s="29"/>
    </row>
    <row r="46" spans="3:6" x14ac:dyDescent="0.25">
      <c r="C46" s="10"/>
      <c r="D46" s="11"/>
      <c r="E46" s="29"/>
      <c r="F46" s="29"/>
    </row>
    <row r="47" spans="3:6" x14ac:dyDescent="0.25">
      <c r="C47" s="31" t="s">
        <v>24</v>
      </c>
      <c r="D47" s="22"/>
      <c r="E47" s="33"/>
      <c r="F47" s="33"/>
    </row>
    <row r="48" spans="3:6" x14ac:dyDescent="0.25">
      <c r="C48" s="10" t="s">
        <v>75</v>
      </c>
      <c r="D48" s="48" t="s">
        <v>4</v>
      </c>
      <c r="E48" s="49">
        <v>1600</v>
      </c>
      <c r="F48" s="49"/>
    </row>
    <row r="49" spans="3:6" x14ac:dyDescent="0.25">
      <c r="C49" s="10" t="s">
        <v>76</v>
      </c>
      <c r="D49" s="11" t="s">
        <v>94</v>
      </c>
      <c r="E49" s="29">
        <v>150000</v>
      </c>
      <c r="F49" s="29"/>
    </row>
    <row r="50" spans="3:6" x14ac:dyDescent="0.25">
      <c r="C50" s="10" t="s">
        <v>77</v>
      </c>
      <c r="D50" s="11" t="s">
        <v>94</v>
      </c>
      <c r="E50" s="29">
        <v>150000</v>
      </c>
      <c r="F50" s="29"/>
    </row>
    <row r="51" spans="3:6" x14ac:dyDescent="0.25">
      <c r="C51" s="10" t="s">
        <v>106</v>
      </c>
      <c r="D51" s="11" t="s">
        <v>107</v>
      </c>
      <c r="E51" s="29">
        <v>300000</v>
      </c>
      <c r="F51" s="29"/>
    </row>
    <row r="52" spans="3:6" x14ac:dyDescent="0.25">
      <c r="C52" s="10"/>
      <c r="D52" s="11"/>
      <c r="E52" s="29"/>
      <c r="F52" s="29"/>
    </row>
    <row r="53" spans="3:6" x14ac:dyDescent="0.25">
      <c r="C53" s="10"/>
      <c r="D53" s="11"/>
      <c r="E53" s="29"/>
      <c r="F53" s="29"/>
    </row>
    <row r="54" spans="3:6" x14ac:dyDescent="0.25">
      <c r="E54" s="20"/>
      <c r="F54" s="20"/>
    </row>
  </sheetData>
  <mergeCells count="4">
    <mergeCell ref="E4:E5"/>
    <mergeCell ref="F4:F5"/>
    <mergeCell ref="D4:D5"/>
    <mergeCell ref="C4:C5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AA63"/>
  <sheetViews>
    <sheetView zoomScale="85" zoomScaleNormal="85" workbookViewId="0">
      <pane xSplit="3" ySplit="5" topLeftCell="D45" activePane="bottomRight" state="frozen"/>
      <selection pane="topRight" activeCell="D1" sqref="D1"/>
      <selection pane="bottomLeft" activeCell="A6" sqref="A6"/>
      <selection pane="bottomRight" activeCell="K59" sqref="K59"/>
    </sheetView>
  </sheetViews>
  <sheetFormatPr defaultRowHeight="15" x14ac:dyDescent="0.25"/>
  <cols>
    <col min="1" max="1" width="9.140625" style="1"/>
    <col min="2" max="2" width="41.140625" style="1" bestFit="1" customWidth="1"/>
    <col min="3" max="3" width="15.28515625" style="2" bestFit="1" customWidth="1"/>
    <col min="4" max="5" width="10.85546875" style="5" bestFit="1" customWidth="1"/>
    <col min="6" max="6" width="10.85546875" style="1" bestFit="1" customWidth="1"/>
    <col min="7" max="8" width="8" style="1" bestFit="1" customWidth="1"/>
    <col min="9" max="9" width="8.42578125" style="1" bestFit="1" customWidth="1"/>
    <col min="10" max="10" width="8" style="1" bestFit="1" customWidth="1"/>
    <col min="11" max="12" width="12" style="1" bestFit="1" customWidth="1"/>
    <col min="13" max="16384" width="9.140625" style="1"/>
  </cols>
  <sheetData>
    <row r="1" spans="2:27" s="39" customFormat="1" ht="18.75" x14ac:dyDescent="0.3">
      <c r="B1" s="36" t="s">
        <v>19</v>
      </c>
      <c r="C1" s="37"/>
      <c r="D1" s="38"/>
      <c r="E1" s="38"/>
    </row>
    <row r="2" spans="2:27" s="39" customFormat="1" x14ac:dyDescent="0.25">
      <c r="B2" s="39" t="str">
        <f>Prices!C2</f>
        <v>Timbergarden</v>
      </c>
      <c r="C2" s="37"/>
      <c r="D2" s="40"/>
      <c r="E2" s="40"/>
      <c r="F2" s="40"/>
      <c r="G2" s="40"/>
      <c r="H2" s="40"/>
      <c r="I2" s="40"/>
      <c r="J2" s="40"/>
      <c r="K2" s="40"/>
      <c r="L2" s="40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</row>
    <row r="3" spans="2:27" s="39" customFormat="1" x14ac:dyDescent="0.25">
      <c r="C3" s="37"/>
      <c r="D3" s="40"/>
      <c r="E3" s="40"/>
      <c r="F3" s="40"/>
      <c r="G3" s="40"/>
      <c r="H3" s="40"/>
      <c r="I3" s="40"/>
      <c r="J3" s="40"/>
      <c r="K3" s="40"/>
      <c r="L3" s="40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</row>
    <row r="4" spans="2:27" s="37" customFormat="1" ht="12.75" customHeight="1" x14ac:dyDescent="0.25">
      <c r="B4" s="101" t="s">
        <v>38</v>
      </c>
      <c r="C4" s="104" t="s">
        <v>0</v>
      </c>
      <c r="D4" s="100" t="s">
        <v>54</v>
      </c>
      <c r="E4" s="100" t="s">
        <v>55</v>
      </c>
      <c r="F4" s="100" t="s">
        <v>56</v>
      </c>
      <c r="G4" s="100" t="s">
        <v>57</v>
      </c>
      <c r="H4" s="100" t="s">
        <v>58</v>
      </c>
      <c r="I4" s="100" t="s">
        <v>59</v>
      </c>
      <c r="J4" s="100" t="s">
        <v>60</v>
      </c>
      <c r="K4" s="100" t="s">
        <v>61</v>
      </c>
      <c r="L4" s="100" t="s">
        <v>108</v>
      </c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</row>
    <row r="5" spans="2:27" s="37" customFormat="1" ht="21" customHeight="1" x14ac:dyDescent="0.25">
      <c r="B5" s="103"/>
      <c r="C5" s="105"/>
      <c r="D5" s="100"/>
      <c r="E5" s="100"/>
      <c r="F5" s="100"/>
      <c r="G5" s="100"/>
      <c r="H5" s="100"/>
      <c r="I5" s="100"/>
      <c r="J5" s="100"/>
      <c r="K5" s="100"/>
      <c r="L5" s="100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</row>
    <row r="6" spans="2:27" x14ac:dyDescent="0.25">
      <c r="B6" s="24" t="s">
        <v>23</v>
      </c>
      <c r="C6" s="22"/>
      <c r="D6" s="23"/>
      <c r="E6" s="23"/>
      <c r="F6" s="21"/>
      <c r="G6" s="21"/>
      <c r="H6" s="21"/>
      <c r="I6" s="21"/>
      <c r="J6" s="21"/>
      <c r="K6" s="21"/>
      <c r="L6" s="21"/>
    </row>
    <row r="7" spans="2:27" x14ac:dyDescent="0.25">
      <c r="B7" s="9" t="s">
        <v>26</v>
      </c>
      <c r="C7" s="11"/>
      <c r="D7" s="12"/>
      <c r="E7" s="6"/>
      <c r="F7" s="6"/>
      <c r="G7" s="6"/>
      <c r="H7" s="6"/>
      <c r="I7" s="6"/>
      <c r="J7" s="6"/>
      <c r="K7" s="6"/>
      <c r="L7" s="6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</row>
    <row r="8" spans="2:27" x14ac:dyDescent="0.25">
      <c r="B8" s="25" t="s">
        <v>7</v>
      </c>
      <c r="C8" s="11" t="s">
        <v>6</v>
      </c>
      <c r="D8" s="7">
        <f>IO!D8*Prices!$E$8</f>
        <v>640000</v>
      </c>
      <c r="E8" s="7">
        <f>IO!E8*Prices!$E$8</f>
        <v>640000</v>
      </c>
      <c r="F8" s="7">
        <f>IO!F8*Prices!$E$8</f>
        <v>640000</v>
      </c>
      <c r="G8" s="7">
        <f>IO!G8*Prices!$E$8</f>
        <v>0</v>
      </c>
      <c r="H8" s="7">
        <f>IO!H8*Prices!$E$8</f>
        <v>0</v>
      </c>
      <c r="I8" s="7">
        <f>IO!I8*Prices!$E$8</f>
        <v>0</v>
      </c>
      <c r="J8" s="7">
        <f>IO!J8*Prices!$E$8</f>
        <v>0</v>
      </c>
      <c r="K8" s="7">
        <f>IO!K8*Prices!$E$8</f>
        <v>0</v>
      </c>
      <c r="L8" s="7">
        <f>IO!L8*Prices!$E$8</f>
        <v>0</v>
      </c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</row>
    <row r="9" spans="2:27" x14ac:dyDescent="0.25">
      <c r="B9" s="25" t="s">
        <v>80</v>
      </c>
      <c r="C9" s="11" t="s">
        <v>6</v>
      </c>
      <c r="D9" s="7">
        <f>IO!D9*Prices!$E$9</f>
        <v>320000</v>
      </c>
      <c r="E9" s="7">
        <f>IO!E9*Prices!$E$9</f>
        <v>320000</v>
      </c>
      <c r="F9" s="7">
        <f>IO!F9*Prices!$E$9</f>
        <v>320000</v>
      </c>
      <c r="G9" s="7">
        <f>IO!G9*Prices!$E$9</f>
        <v>0</v>
      </c>
      <c r="H9" s="7">
        <f>IO!H9*Prices!$E$9</f>
        <v>0</v>
      </c>
      <c r="I9" s="7">
        <f>IO!I9*Prices!$E$9</f>
        <v>0</v>
      </c>
      <c r="J9" s="7">
        <f>IO!J9*Prices!$E$9</f>
        <v>0</v>
      </c>
      <c r="K9" s="7">
        <f>IO!K9*Prices!$E$9</f>
        <v>0</v>
      </c>
      <c r="L9" s="7">
        <f>IO!L9*Prices!$E$9</f>
        <v>0</v>
      </c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</row>
    <row r="10" spans="2:27" x14ac:dyDescent="0.25">
      <c r="B10" s="25" t="s">
        <v>81</v>
      </c>
      <c r="C10" s="11" t="s">
        <v>6</v>
      </c>
      <c r="D10" s="7">
        <f>IO!D10*Prices!$E$10</f>
        <v>320000</v>
      </c>
      <c r="E10" s="7">
        <f>IO!E10*Prices!$E$10</f>
        <v>320000</v>
      </c>
      <c r="F10" s="7">
        <f>IO!F10*Prices!$E$10</f>
        <v>320000</v>
      </c>
      <c r="G10" s="7">
        <f>IO!G10*Prices!$E$10</f>
        <v>0</v>
      </c>
      <c r="H10" s="7">
        <f>IO!H10*Prices!$E$10</f>
        <v>0</v>
      </c>
      <c r="I10" s="7">
        <f>IO!I10*Prices!$E$10</f>
        <v>0</v>
      </c>
      <c r="J10" s="7">
        <f>IO!J10*Prices!$E$10</f>
        <v>0</v>
      </c>
      <c r="K10" s="7">
        <f>IO!K10*Prices!$E$10</f>
        <v>0</v>
      </c>
      <c r="L10" s="7">
        <f>IO!L10*Prices!$E$10</f>
        <v>0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</row>
    <row r="11" spans="2:27" x14ac:dyDescent="0.25">
      <c r="B11" s="25" t="s">
        <v>82</v>
      </c>
      <c r="C11" s="11" t="s">
        <v>6</v>
      </c>
      <c r="D11" s="7">
        <f>IO!D11*Prices!$E$11</f>
        <v>320000</v>
      </c>
      <c r="E11" s="7">
        <f>IO!E11*Prices!$E$11</f>
        <v>320000</v>
      </c>
      <c r="F11" s="7">
        <f>IO!F11*Prices!$E$11</f>
        <v>320000</v>
      </c>
      <c r="G11" s="7">
        <f>IO!G11*Prices!$E$11</f>
        <v>0</v>
      </c>
      <c r="H11" s="7">
        <f>IO!H11*Prices!$E$11</f>
        <v>0</v>
      </c>
      <c r="I11" s="7">
        <f>IO!I11*Prices!$E$11</f>
        <v>0</v>
      </c>
      <c r="J11" s="7">
        <f>IO!J11*Prices!$E$11</f>
        <v>0</v>
      </c>
      <c r="K11" s="7">
        <f>IO!K11*Prices!$E$11</f>
        <v>0</v>
      </c>
      <c r="L11" s="7">
        <f>IO!L11*Prices!$E$11</f>
        <v>0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</row>
    <row r="12" spans="2:27" x14ac:dyDescent="0.25">
      <c r="B12" s="25" t="s">
        <v>80</v>
      </c>
      <c r="C12" s="11" t="s">
        <v>6</v>
      </c>
      <c r="D12" s="7">
        <f>IO!D12*Prices!$E$12</f>
        <v>320000</v>
      </c>
      <c r="E12" s="7">
        <f>IO!E12*Prices!$E$12</f>
        <v>320000</v>
      </c>
      <c r="F12" s="7">
        <f>IO!F12*Prices!$E$12</f>
        <v>320000</v>
      </c>
      <c r="G12" s="7">
        <f>IO!G12*Prices!$E$12</f>
        <v>0</v>
      </c>
      <c r="H12" s="7">
        <f>IO!H12*Prices!$E$12</f>
        <v>0</v>
      </c>
      <c r="I12" s="7">
        <f>IO!I12*Prices!$E$12</f>
        <v>0</v>
      </c>
      <c r="J12" s="7">
        <f>IO!J12*Prices!$E$12</f>
        <v>0</v>
      </c>
      <c r="K12" s="7">
        <f>IO!K12*Prices!$E$12</f>
        <v>0</v>
      </c>
      <c r="L12" s="7">
        <f>IO!L12*Prices!$E$12</f>
        <v>0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</row>
    <row r="13" spans="2:27" s="4" customFormat="1" x14ac:dyDescent="0.25">
      <c r="B13" s="9"/>
      <c r="C13" s="11"/>
      <c r="D13" s="7"/>
      <c r="E13" s="7"/>
      <c r="F13" s="7"/>
      <c r="G13" s="7"/>
      <c r="H13" s="7"/>
      <c r="I13" s="7"/>
      <c r="J13" s="7"/>
      <c r="K13" s="7"/>
      <c r="L13" s="7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</row>
    <row r="14" spans="2:27" s="4" customFormat="1" x14ac:dyDescent="0.25">
      <c r="B14" s="9" t="s">
        <v>27</v>
      </c>
      <c r="C14" s="11"/>
      <c r="D14" s="7"/>
      <c r="E14" s="7"/>
      <c r="F14" s="7"/>
      <c r="G14" s="7"/>
      <c r="H14" s="7"/>
      <c r="I14" s="7"/>
      <c r="J14" s="7"/>
      <c r="K14" s="7"/>
      <c r="L14" s="7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</row>
    <row r="15" spans="2:27" s="4" customFormat="1" x14ac:dyDescent="0.25">
      <c r="B15" s="25" t="s">
        <v>84</v>
      </c>
      <c r="C15" s="11" t="s">
        <v>6</v>
      </c>
      <c r="D15" s="7">
        <f>IO!D15*Prices!$E$15</f>
        <v>400000</v>
      </c>
      <c r="E15" s="7">
        <f>IO!E15*Prices!$E$15</f>
        <v>400000</v>
      </c>
      <c r="F15" s="7">
        <f>IO!F15*Prices!$E$15</f>
        <v>400000</v>
      </c>
      <c r="G15" s="7">
        <f>IO!G15*Prices!$E$15</f>
        <v>0</v>
      </c>
      <c r="H15" s="7">
        <f>IO!H15*Prices!$E$15</f>
        <v>0</v>
      </c>
      <c r="I15" s="7">
        <f>IO!I15*Prices!$E$15</f>
        <v>0</v>
      </c>
      <c r="J15" s="7">
        <f>IO!J15*Prices!$E$15</f>
        <v>0</v>
      </c>
      <c r="K15" s="7">
        <f>IO!K15*Prices!$E$15</f>
        <v>0</v>
      </c>
      <c r="L15" s="7">
        <f>IO!L15*Prices!$E$15</f>
        <v>0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</row>
    <row r="16" spans="2:27" s="4" customFormat="1" x14ac:dyDescent="0.25">
      <c r="B16" s="25" t="s">
        <v>85</v>
      </c>
      <c r="C16" s="11" t="s">
        <v>6</v>
      </c>
      <c r="D16" s="7">
        <f>IO!D16*Prices!$E$16</f>
        <v>300000</v>
      </c>
      <c r="E16" s="7">
        <f>IO!E16*Prices!$E$16</f>
        <v>300000</v>
      </c>
      <c r="F16" s="7">
        <f>IO!F16*Prices!$E$16</f>
        <v>300000</v>
      </c>
      <c r="G16" s="7">
        <f>IO!G16*Prices!$E$16</f>
        <v>0</v>
      </c>
      <c r="H16" s="7">
        <f>IO!H16*Prices!$E$16</f>
        <v>0</v>
      </c>
      <c r="I16" s="7">
        <f>IO!I16*Prices!$E$16</f>
        <v>0</v>
      </c>
      <c r="J16" s="7">
        <f>IO!J16*Prices!$E$16</f>
        <v>0</v>
      </c>
      <c r="K16" s="7">
        <f>IO!K16*Prices!$E$16</f>
        <v>0</v>
      </c>
      <c r="L16" s="7">
        <f>IO!L16*Prices!$E$16</f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</row>
    <row r="17" spans="2:27" s="4" customFormat="1" x14ac:dyDescent="0.25">
      <c r="B17" s="9"/>
      <c r="C17" s="11"/>
      <c r="D17" s="7"/>
      <c r="E17" s="7"/>
      <c r="F17" s="7"/>
      <c r="G17" s="7"/>
      <c r="H17" s="7"/>
      <c r="I17" s="7"/>
      <c r="J17" s="7"/>
      <c r="K17" s="7"/>
      <c r="L17" s="7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</row>
    <row r="18" spans="2:27" s="4" customFormat="1" x14ac:dyDescent="0.25">
      <c r="B18" s="9" t="s">
        <v>29</v>
      </c>
      <c r="C18" s="11"/>
      <c r="D18" s="7"/>
      <c r="E18" s="7"/>
      <c r="F18" s="7"/>
      <c r="G18" s="7"/>
      <c r="H18" s="7"/>
      <c r="I18" s="7"/>
      <c r="J18" s="7"/>
      <c r="K18" s="7"/>
      <c r="L18" s="7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</row>
    <row r="19" spans="2:27" x14ac:dyDescent="0.25">
      <c r="B19" s="25" t="s">
        <v>75</v>
      </c>
      <c r="C19" s="11" t="s">
        <v>6</v>
      </c>
      <c r="D19" s="7">
        <f>IO!D19*Prices!$E$19</f>
        <v>1032000</v>
      </c>
      <c r="E19" s="7">
        <f>IO!E19*Prices!$E$19</f>
        <v>1032000</v>
      </c>
      <c r="F19" s="7">
        <f>IO!F19*Prices!$E$19</f>
        <v>1032000</v>
      </c>
      <c r="G19" s="7">
        <f>IO!G19*Prices!$E$19</f>
        <v>0</v>
      </c>
      <c r="H19" s="7">
        <f>IO!H19*Prices!$E$19</f>
        <v>0</v>
      </c>
      <c r="I19" s="7">
        <f>IO!I19*Prices!$E$19</f>
        <v>0</v>
      </c>
      <c r="J19" s="7">
        <f>IO!J19*Prices!$E$19</f>
        <v>0</v>
      </c>
      <c r="K19" s="7">
        <f>IO!K19*Prices!$E$19</f>
        <v>0</v>
      </c>
      <c r="L19" s="7">
        <f>IO!L19*Prices!$E$19</f>
        <v>0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0" spans="2:27" x14ac:dyDescent="0.25">
      <c r="B20" s="25" t="s">
        <v>83</v>
      </c>
      <c r="C20" s="11" t="s">
        <v>6</v>
      </c>
      <c r="D20" s="7">
        <f>IO!D20*Prices!$E$20</f>
        <v>250000</v>
      </c>
      <c r="E20" s="7">
        <f>IO!E20*Prices!$E$20</f>
        <v>0</v>
      </c>
      <c r="F20" s="7">
        <f>IO!F20*Prices!$E$20</f>
        <v>0</v>
      </c>
      <c r="G20" s="7">
        <f>IO!G20*Prices!$E$20</f>
        <v>0</v>
      </c>
      <c r="H20" s="7">
        <f>IO!H20*Prices!$E$20</f>
        <v>0</v>
      </c>
      <c r="I20" s="7">
        <f>IO!I20*Prices!$E$20</f>
        <v>0</v>
      </c>
      <c r="J20" s="7">
        <f>IO!J20*Prices!$E$20</f>
        <v>0</v>
      </c>
      <c r="K20" s="7">
        <f>IO!K20*Prices!$E$20</f>
        <v>0</v>
      </c>
      <c r="L20" s="7">
        <f>IO!L20*Prices!$E$20</f>
        <v>0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</row>
    <row r="21" spans="2:27" x14ac:dyDescent="0.25">
      <c r="B21" s="25" t="s">
        <v>87</v>
      </c>
      <c r="C21" s="11" t="s">
        <v>6</v>
      </c>
      <c r="D21" s="7">
        <f>IO!D21*Prices!$E$21</f>
        <v>0</v>
      </c>
      <c r="E21" s="7">
        <f>IO!E21*Prices!$E$21</f>
        <v>250000</v>
      </c>
      <c r="F21" s="7">
        <f>IO!F21*Prices!$E$21</f>
        <v>0</v>
      </c>
      <c r="G21" s="7">
        <f>IO!G21*Prices!$E$21</f>
        <v>0</v>
      </c>
      <c r="H21" s="7">
        <f>IO!H21*Prices!$E$21</f>
        <v>0</v>
      </c>
      <c r="I21" s="7">
        <f>IO!I21*Prices!$E$21</f>
        <v>0</v>
      </c>
      <c r="J21" s="7">
        <f>IO!J21*Prices!$E$21</f>
        <v>0</v>
      </c>
      <c r="K21" s="7">
        <f>IO!K21*Prices!$E$21</f>
        <v>0</v>
      </c>
      <c r="L21" s="7">
        <f>IO!L21*Prices!$E$21</f>
        <v>0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</row>
    <row r="22" spans="2:27" x14ac:dyDescent="0.25">
      <c r="B22" s="25"/>
      <c r="C22" s="11"/>
      <c r="D22" s="7"/>
      <c r="E22" s="7"/>
      <c r="F22" s="7"/>
      <c r="G22" s="7"/>
      <c r="H22" s="7"/>
      <c r="I22" s="7"/>
      <c r="J22" s="7"/>
      <c r="K22" s="7"/>
      <c r="L22" s="7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</row>
    <row r="23" spans="2:27" x14ac:dyDescent="0.25">
      <c r="B23" s="9" t="s">
        <v>30</v>
      </c>
      <c r="C23" s="11"/>
      <c r="D23" s="7"/>
      <c r="E23" s="7"/>
      <c r="F23" s="7"/>
      <c r="G23" s="7"/>
      <c r="H23" s="7"/>
      <c r="I23" s="7"/>
      <c r="J23" s="7"/>
      <c r="K23" s="7"/>
      <c r="L23" s="7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</row>
    <row r="24" spans="2:27" x14ac:dyDescent="0.25">
      <c r="B24" s="25" t="s">
        <v>67</v>
      </c>
      <c r="C24" s="11" t="s">
        <v>6</v>
      </c>
      <c r="D24" s="7">
        <f>IO!D24*Prices!$E$24</f>
        <v>5000000</v>
      </c>
      <c r="E24" s="7">
        <f>IO!E24*Prices!$E$24</f>
        <v>5000000</v>
      </c>
      <c r="F24" s="7">
        <f>IO!F24*Prices!$E$24</f>
        <v>5000000</v>
      </c>
      <c r="G24" s="7">
        <f>IO!G24*Prices!$E$24</f>
        <v>0</v>
      </c>
      <c r="H24" s="7">
        <f>IO!H24*Prices!$E$24</f>
        <v>0</v>
      </c>
      <c r="I24" s="7">
        <f>IO!I24*Prices!$E$24</f>
        <v>0</v>
      </c>
      <c r="J24" s="7">
        <f>IO!J24*Prices!$E$24</f>
        <v>0</v>
      </c>
      <c r="K24" s="7">
        <f>IO!K24*Prices!$E$24</f>
        <v>0</v>
      </c>
      <c r="L24" s="7">
        <f>IO!L24*Prices!$E$24</f>
        <v>0</v>
      </c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</row>
    <row r="25" spans="2:27" x14ac:dyDescent="0.25">
      <c r="B25" s="25" t="s">
        <v>64</v>
      </c>
      <c r="C25" s="11" t="s">
        <v>6</v>
      </c>
      <c r="D25" s="7">
        <f>IO!D25*Prices!$E$25</f>
        <v>200000</v>
      </c>
      <c r="E25" s="7">
        <f>IO!E25*Prices!$E$25</f>
        <v>0</v>
      </c>
      <c r="F25" s="7">
        <f>IO!F25*Prices!$E$25</f>
        <v>0</v>
      </c>
      <c r="G25" s="7">
        <f>IO!G25*Prices!$E$25</f>
        <v>0</v>
      </c>
      <c r="H25" s="7">
        <f>IO!H25*Prices!$E$25</f>
        <v>0</v>
      </c>
      <c r="I25" s="7">
        <f>IO!I25*Prices!$E$25</f>
        <v>0</v>
      </c>
      <c r="J25" s="7">
        <f>IO!J25*Prices!$E$25</f>
        <v>0</v>
      </c>
      <c r="K25" s="7">
        <f>IO!K25*Prices!$E$25</f>
        <v>0</v>
      </c>
      <c r="L25" s="7">
        <f>IO!L25*Prices!$E$25</f>
        <v>0</v>
      </c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</row>
    <row r="26" spans="2:27" x14ac:dyDescent="0.25">
      <c r="B26" s="25" t="s">
        <v>32</v>
      </c>
      <c r="C26" s="11" t="s">
        <v>6</v>
      </c>
      <c r="D26" s="7">
        <f>IO!D26*Prices!$E$26</f>
        <v>50000</v>
      </c>
      <c r="E26" s="7">
        <f>IO!E26*Prices!$E$26</f>
        <v>0</v>
      </c>
      <c r="F26" s="7">
        <f>IO!F26*Prices!$E$26</f>
        <v>0</v>
      </c>
      <c r="G26" s="7">
        <f>IO!G26*Prices!$E$26</f>
        <v>0</v>
      </c>
      <c r="H26" s="7">
        <f>IO!H26*Prices!$E$26</f>
        <v>0</v>
      </c>
      <c r="I26" s="7">
        <f>IO!I26*Prices!$E$26</f>
        <v>50000</v>
      </c>
      <c r="J26" s="7">
        <f>IO!J26*Prices!$E$26</f>
        <v>0</v>
      </c>
      <c r="K26" s="7">
        <f>IO!K26*Prices!$E$26</f>
        <v>0</v>
      </c>
      <c r="L26" s="7">
        <f>IO!L26*Prices!$E$26</f>
        <v>0</v>
      </c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</row>
    <row r="27" spans="2:27" x14ac:dyDescent="0.25">
      <c r="B27" s="25" t="s">
        <v>33</v>
      </c>
      <c r="C27" s="11" t="s">
        <v>6</v>
      </c>
      <c r="D27" s="7">
        <f>IO!D27*Prices!$E$27</f>
        <v>30000</v>
      </c>
      <c r="E27" s="7">
        <f>IO!E27*Prices!$E$27</f>
        <v>0</v>
      </c>
      <c r="F27" s="7">
        <f>IO!F27*Prices!$E$27</f>
        <v>30000</v>
      </c>
      <c r="G27" s="7">
        <f>IO!G27*Prices!$E$27</f>
        <v>0</v>
      </c>
      <c r="H27" s="7">
        <f>IO!H27*Prices!$E$27</f>
        <v>30000</v>
      </c>
      <c r="I27" s="7">
        <f>IO!I27*Prices!$E$27</f>
        <v>0</v>
      </c>
      <c r="J27" s="7">
        <f>IO!J27*Prices!$E$27</f>
        <v>30000</v>
      </c>
      <c r="K27" s="7">
        <f>IO!K27*Prices!$E$27</f>
        <v>0</v>
      </c>
      <c r="L27" s="7">
        <f>IO!L27*Prices!$E$27</f>
        <v>0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</row>
    <row r="28" spans="2:27" x14ac:dyDescent="0.25">
      <c r="B28" s="47"/>
      <c r="C28" s="11"/>
      <c r="D28" s="7"/>
      <c r="E28" s="7"/>
      <c r="F28" s="7"/>
      <c r="G28" s="7"/>
      <c r="H28" s="7"/>
      <c r="I28" s="7"/>
      <c r="J28" s="7"/>
      <c r="K28" s="7"/>
      <c r="L28" s="7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</row>
    <row r="29" spans="2:27" x14ac:dyDescent="0.25">
      <c r="B29" s="47" t="s">
        <v>31</v>
      </c>
      <c r="C29" s="11"/>
      <c r="D29" s="7"/>
      <c r="E29" s="7"/>
      <c r="F29" s="7"/>
      <c r="G29" s="7"/>
      <c r="H29" s="7"/>
      <c r="I29" s="7"/>
      <c r="J29" s="7"/>
      <c r="K29" s="7"/>
      <c r="L29" s="7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</row>
    <row r="30" spans="2:27" x14ac:dyDescent="0.25">
      <c r="B30" s="10" t="s">
        <v>75</v>
      </c>
      <c r="C30" s="11" t="s">
        <v>6</v>
      </c>
      <c r="D30" s="7">
        <f>IO!D30*Prices!$E$30</f>
        <v>0</v>
      </c>
      <c r="E30" s="7">
        <f>IO!E30*Prices!$E$30</f>
        <v>0</v>
      </c>
      <c r="F30" s="7">
        <f>IO!F30*Prices!$E$30</f>
        <v>0</v>
      </c>
      <c r="G30" s="7">
        <f>IO!G30*Prices!$E$30</f>
        <v>0</v>
      </c>
      <c r="H30" s="7">
        <f>IO!H30*Prices!$E$30</f>
        <v>0</v>
      </c>
      <c r="I30" s="7">
        <f>IO!I30*Prices!$E$30</f>
        <v>0</v>
      </c>
      <c r="J30" s="7">
        <f>IO!J30*Prices!$E$30</f>
        <v>0</v>
      </c>
      <c r="K30" s="7">
        <f>IO!K30*Prices!$E$30</f>
        <v>0</v>
      </c>
      <c r="L30" s="7">
        <f>IO!L30*Prices!$E$30</f>
        <v>0</v>
      </c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</row>
    <row r="31" spans="2:27" x14ac:dyDescent="0.25">
      <c r="B31" s="25" t="s">
        <v>45</v>
      </c>
      <c r="C31" s="11" t="s">
        <v>6</v>
      </c>
      <c r="D31" s="7">
        <f>IO!D31*Prices!$E$31</f>
        <v>300000</v>
      </c>
      <c r="E31" s="7">
        <f>IO!E31*Prices!$E$31</f>
        <v>240000</v>
      </c>
      <c r="F31" s="7">
        <f>IO!F31*Prices!$E$31</f>
        <v>240000</v>
      </c>
      <c r="G31" s="7">
        <f>IO!G31*Prices!$E$31</f>
        <v>0</v>
      </c>
      <c r="H31" s="7">
        <f>IO!H31*Prices!$E$31</f>
        <v>0</v>
      </c>
      <c r="I31" s="7">
        <f>IO!I31*Prices!$E$31</f>
        <v>0</v>
      </c>
      <c r="J31" s="7">
        <f>IO!J31*Prices!$E$31</f>
        <v>0</v>
      </c>
      <c r="K31" s="7">
        <f>IO!K31*Prices!$E$31</f>
        <v>0</v>
      </c>
      <c r="L31" s="7">
        <f>IO!L31*Prices!$E$31</f>
        <v>0</v>
      </c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  <row r="32" spans="2:27" x14ac:dyDescent="0.25">
      <c r="B32" s="25" t="s">
        <v>41</v>
      </c>
      <c r="C32" s="11" t="s">
        <v>6</v>
      </c>
      <c r="D32" s="7">
        <f>IO!D32*Prices!$E$32</f>
        <v>150000</v>
      </c>
      <c r="E32" s="7">
        <f>IO!E32*Prices!$E$32</f>
        <v>150000</v>
      </c>
      <c r="F32" s="7">
        <f>IO!F32*Prices!$E$32</f>
        <v>150000</v>
      </c>
      <c r="G32" s="7">
        <f>IO!G32*Prices!$E$32</f>
        <v>0</v>
      </c>
      <c r="H32" s="7">
        <f>IO!H32*Prices!$E$32</f>
        <v>0</v>
      </c>
      <c r="I32" s="7">
        <f>IO!I32*Prices!$E$32</f>
        <v>0</v>
      </c>
      <c r="J32" s="7">
        <f>IO!J32*Prices!$E$32</f>
        <v>0</v>
      </c>
      <c r="K32" s="7">
        <f>IO!K32*Prices!$E$32</f>
        <v>0</v>
      </c>
      <c r="L32" s="7">
        <f>IO!L32*Prices!$E$32</f>
        <v>0</v>
      </c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2:27" x14ac:dyDescent="0.25">
      <c r="B33" s="25" t="s">
        <v>40</v>
      </c>
      <c r="C33" s="11" t="s">
        <v>6</v>
      </c>
      <c r="D33" s="7">
        <f>IO!D33*Prices!$E$33</f>
        <v>360000</v>
      </c>
      <c r="E33" s="7">
        <f>IO!E33*Prices!$E$33</f>
        <v>360000</v>
      </c>
      <c r="F33" s="7">
        <f>IO!F33*Prices!$E$33</f>
        <v>360000</v>
      </c>
      <c r="G33" s="7">
        <f>IO!G33*Prices!$E$33</f>
        <v>0</v>
      </c>
      <c r="H33" s="7">
        <f>IO!H33*Prices!$E$33</f>
        <v>0</v>
      </c>
      <c r="I33" s="7">
        <f>IO!I33*Prices!$E$33</f>
        <v>0</v>
      </c>
      <c r="J33" s="7">
        <f>IO!J33*Prices!$E$33</f>
        <v>0</v>
      </c>
      <c r="K33" s="7">
        <f>IO!K33*Prices!$E$33</f>
        <v>0</v>
      </c>
      <c r="L33" s="7">
        <f>IO!L33*Prices!$E$33</f>
        <v>0</v>
      </c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</row>
    <row r="34" spans="2:27" x14ac:dyDescent="0.25">
      <c r="B34" s="25" t="s">
        <v>63</v>
      </c>
      <c r="C34" s="11" t="s">
        <v>6</v>
      </c>
      <c r="D34" s="7">
        <f>IO!D34*Prices!$E$34</f>
        <v>120000</v>
      </c>
      <c r="E34" s="7">
        <f>IO!E34*Prices!$E$34</f>
        <v>120000</v>
      </c>
      <c r="F34" s="7">
        <f>IO!F34*Prices!$E$34</f>
        <v>120000</v>
      </c>
      <c r="G34" s="7">
        <f>IO!G34*Prices!$E$34</f>
        <v>0</v>
      </c>
      <c r="H34" s="7">
        <f>IO!H34*Prices!$E$34</f>
        <v>0</v>
      </c>
      <c r="I34" s="7">
        <f>IO!I34*Prices!$E$34</f>
        <v>0</v>
      </c>
      <c r="J34" s="7">
        <f>IO!J34*Prices!$E$34</f>
        <v>0</v>
      </c>
      <c r="K34" s="7">
        <f>IO!K34*Prices!$E$34</f>
        <v>0</v>
      </c>
      <c r="L34" s="7">
        <f>IO!L34*Prices!$E$34</f>
        <v>0</v>
      </c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</row>
    <row r="35" spans="2:27" x14ac:dyDescent="0.25">
      <c r="B35" s="25" t="s">
        <v>42</v>
      </c>
      <c r="C35" s="11" t="s">
        <v>6</v>
      </c>
      <c r="D35" s="7">
        <f>IO!D35*Prices!$E$35</f>
        <v>300000</v>
      </c>
      <c r="E35" s="7">
        <f>IO!E35*Prices!$E$35</f>
        <v>300000</v>
      </c>
      <c r="F35" s="7">
        <f>IO!F35*Prices!$E$35</f>
        <v>300000</v>
      </c>
      <c r="G35" s="7">
        <f>IO!G35*Prices!$E$35</f>
        <v>0</v>
      </c>
      <c r="H35" s="7">
        <f>IO!H35*Prices!$E$35</f>
        <v>0</v>
      </c>
      <c r="I35" s="7">
        <f>IO!I35*Prices!$E$35</f>
        <v>0</v>
      </c>
      <c r="J35" s="7">
        <f>IO!J35*Prices!$E$35</f>
        <v>0</v>
      </c>
      <c r="K35" s="7">
        <f>IO!K35*Prices!$E$35</f>
        <v>0</v>
      </c>
      <c r="L35" s="7">
        <f>IO!L35*Prices!$E$35</f>
        <v>0</v>
      </c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</row>
    <row r="36" spans="2:27" x14ac:dyDescent="0.25">
      <c r="B36" s="25" t="s">
        <v>88</v>
      </c>
      <c r="C36" s="11" t="s">
        <v>6</v>
      </c>
      <c r="D36" s="7">
        <f>IO!D36*Prices!$E$36</f>
        <v>428571.42857142841</v>
      </c>
      <c r="E36" s="7">
        <f>IO!E36*Prices!$E$36</f>
        <v>428571.42857142841</v>
      </c>
      <c r="F36" s="7">
        <f>IO!F36*Prices!$E$36</f>
        <v>428571.42857142841</v>
      </c>
      <c r="G36" s="7">
        <f>IO!G36*Prices!$E$36</f>
        <v>0</v>
      </c>
      <c r="H36" s="7">
        <f>IO!H36*Prices!$E$36</f>
        <v>0</v>
      </c>
      <c r="I36" s="7">
        <f>IO!I36*Prices!$E$36</f>
        <v>0</v>
      </c>
      <c r="J36" s="7">
        <f>IO!J36*Prices!$E$36</f>
        <v>0</v>
      </c>
      <c r="K36" s="7">
        <f>IO!K36*Prices!$E$36</f>
        <v>0</v>
      </c>
      <c r="L36" s="7">
        <f>IO!L36*Prices!$E$36</f>
        <v>0</v>
      </c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</row>
    <row r="37" spans="2:27" x14ac:dyDescent="0.25">
      <c r="B37" s="25" t="s">
        <v>89</v>
      </c>
      <c r="C37" s="11" t="s">
        <v>6</v>
      </c>
      <c r="D37" s="7">
        <f>IO!D37*Prices!$E$37</f>
        <v>12857.142857142841</v>
      </c>
      <c r="E37" s="7">
        <f>IO!E37*Prices!$E$37</f>
        <v>12857.142857142841</v>
      </c>
      <c r="F37" s="7">
        <f>IO!F37*Prices!$E$37</f>
        <v>12857.142857142841</v>
      </c>
      <c r="G37" s="7">
        <f>IO!G37*Prices!$E$37</f>
        <v>0</v>
      </c>
      <c r="H37" s="7">
        <f>IO!H37*Prices!$E$37</f>
        <v>0</v>
      </c>
      <c r="I37" s="7">
        <f>IO!I37*Prices!$E$37</f>
        <v>0</v>
      </c>
      <c r="J37" s="7">
        <f>IO!J37*Prices!$E$37</f>
        <v>0</v>
      </c>
      <c r="K37" s="7">
        <f>IO!K37*Prices!$E$37</f>
        <v>0</v>
      </c>
      <c r="L37" s="7">
        <f>IO!L37*Prices!$E$37</f>
        <v>0</v>
      </c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</row>
    <row r="38" spans="2:27" x14ac:dyDescent="0.25">
      <c r="B38" s="10" t="s">
        <v>90</v>
      </c>
      <c r="C38" s="11"/>
      <c r="D38" s="7"/>
      <c r="E38" s="7"/>
      <c r="F38" s="7"/>
      <c r="G38" s="7"/>
      <c r="H38" s="7"/>
      <c r="I38" s="7"/>
      <c r="J38" s="7"/>
      <c r="K38" s="7"/>
      <c r="L38" s="7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</row>
    <row r="39" spans="2:27" x14ac:dyDescent="0.25">
      <c r="B39" s="25" t="s">
        <v>44</v>
      </c>
      <c r="C39" s="11" t="s">
        <v>6</v>
      </c>
      <c r="D39" s="7">
        <f>IO!D39*Prices!$E$39</f>
        <v>75000</v>
      </c>
      <c r="E39" s="7">
        <f>IO!E39*Prices!$E$39</f>
        <v>75000</v>
      </c>
      <c r="F39" s="7">
        <f>IO!F39*Prices!$E$39</f>
        <v>0</v>
      </c>
      <c r="G39" s="7">
        <f>IO!G39*Prices!$E$39</f>
        <v>0</v>
      </c>
      <c r="H39" s="7">
        <f>IO!H39*Prices!$E$39</f>
        <v>0</v>
      </c>
      <c r="I39" s="7">
        <f>IO!I39*Prices!$E$39</f>
        <v>0</v>
      </c>
      <c r="J39" s="7">
        <f>IO!J39*Prices!$E$39</f>
        <v>0</v>
      </c>
      <c r="K39" s="7">
        <f>IO!K39*Prices!$E$39</f>
        <v>0</v>
      </c>
      <c r="L39" s="7">
        <f>IO!L39*Prices!$E$39</f>
        <v>0</v>
      </c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</row>
    <row r="40" spans="2:27" x14ac:dyDescent="0.25">
      <c r="B40" s="25" t="s">
        <v>40</v>
      </c>
      <c r="C40" s="11" t="s">
        <v>6</v>
      </c>
      <c r="D40" s="7">
        <f>IO!D40*Prices!$E$40</f>
        <v>60000</v>
      </c>
      <c r="E40" s="7">
        <f>IO!E40*Prices!$E$40</f>
        <v>60000</v>
      </c>
      <c r="F40" s="7">
        <f>IO!F40*Prices!$E$40</f>
        <v>60000</v>
      </c>
      <c r="G40" s="7">
        <f>IO!G40*Prices!$E$40</f>
        <v>0</v>
      </c>
      <c r="H40" s="7">
        <f>IO!H40*Prices!$E$40</f>
        <v>0</v>
      </c>
      <c r="I40" s="7">
        <f>IO!I40*Prices!$E$40</f>
        <v>0</v>
      </c>
      <c r="J40" s="7">
        <f>IO!J40*Prices!$E$40</f>
        <v>0</v>
      </c>
      <c r="K40" s="7">
        <f>IO!K40*Prices!$E$40</f>
        <v>0</v>
      </c>
      <c r="L40" s="7">
        <f>IO!L40*Prices!$E$40</f>
        <v>0</v>
      </c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</row>
    <row r="41" spans="2:27" x14ac:dyDescent="0.25">
      <c r="B41" s="25" t="s">
        <v>91</v>
      </c>
      <c r="C41" s="11" t="s">
        <v>6</v>
      </c>
      <c r="D41" s="7">
        <f>IO!D41*Prices!$E$41</f>
        <v>0</v>
      </c>
      <c r="E41" s="7">
        <f>IO!E41*Prices!$E$41</f>
        <v>0</v>
      </c>
      <c r="F41" s="7">
        <f>IO!F41*Prices!$E$41</f>
        <v>0</v>
      </c>
      <c r="G41" s="7">
        <f>IO!G41*Prices!$E$41</f>
        <v>90000</v>
      </c>
      <c r="H41" s="7">
        <f>IO!H41*Prices!$E$41</f>
        <v>0</v>
      </c>
      <c r="I41" s="7">
        <f>IO!I41*Prices!$E$41</f>
        <v>0</v>
      </c>
      <c r="J41" s="7">
        <f>IO!J41*Prices!$E$41</f>
        <v>0</v>
      </c>
      <c r="K41" s="7">
        <f>IO!K41*Prices!$E$41</f>
        <v>0</v>
      </c>
      <c r="L41" s="7">
        <f>IO!L41*Prices!$E$41</f>
        <v>0</v>
      </c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</row>
    <row r="42" spans="2:27" x14ac:dyDescent="0.25">
      <c r="B42" s="25" t="s">
        <v>92</v>
      </c>
      <c r="C42" s="11" t="s">
        <v>6</v>
      </c>
      <c r="D42" s="7">
        <f>IO!D42*Prices!$E$42</f>
        <v>0</v>
      </c>
      <c r="E42" s="7">
        <f>IO!E42*Prices!$E$42</f>
        <v>0</v>
      </c>
      <c r="F42" s="7">
        <f>IO!F42*Prices!$E$42</f>
        <v>0</v>
      </c>
      <c r="G42" s="7">
        <f>IO!G42*Prices!$E$42</f>
        <v>0</v>
      </c>
      <c r="H42" s="7">
        <f>IO!H42*Prices!$E$42</f>
        <v>0</v>
      </c>
      <c r="I42" s="7">
        <f>IO!I42*Prices!$E$42</f>
        <v>300000</v>
      </c>
      <c r="J42" s="7">
        <f>IO!J42*Prices!$E$42</f>
        <v>0</v>
      </c>
      <c r="K42" s="7">
        <f>IO!K42*Prices!$E$42</f>
        <v>0</v>
      </c>
      <c r="L42" s="7">
        <f>IO!L42*Prices!$E$42</f>
        <v>0</v>
      </c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</row>
    <row r="43" spans="2:27" x14ac:dyDescent="0.25">
      <c r="B43" s="25" t="s">
        <v>43</v>
      </c>
      <c r="C43" s="11" t="s">
        <v>6</v>
      </c>
      <c r="D43" s="7">
        <f>IO!D43*Prices!$E$43</f>
        <v>0</v>
      </c>
      <c r="E43" s="7">
        <f>IO!E43*Prices!$E$43</f>
        <v>0</v>
      </c>
      <c r="F43" s="7">
        <f>IO!F43*Prices!$E$43</f>
        <v>0</v>
      </c>
      <c r="G43" s="7">
        <f>IO!G43*Prices!$E$43</f>
        <v>0</v>
      </c>
      <c r="H43" s="7">
        <f>IO!H43*Prices!$E$43</f>
        <v>0</v>
      </c>
      <c r="I43" s="7">
        <f>IO!I43*Prices!$E$43</f>
        <v>0</v>
      </c>
      <c r="J43" s="7">
        <f>IO!J43*Prices!$E$43</f>
        <v>0</v>
      </c>
      <c r="K43" s="7">
        <f>IO!K43*Prices!$E$43</f>
        <v>652500</v>
      </c>
      <c r="L43" s="7">
        <f>IO!L43*Prices!$E$43</f>
        <v>652500</v>
      </c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2:27" x14ac:dyDescent="0.25">
      <c r="B44" s="46"/>
      <c r="C44" s="11"/>
      <c r="D44" s="7"/>
      <c r="E44" s="7"/>
      <c r="F44" s="7"/>
      <c r="G44" s="7"/>
      <c r="H44" s="7"/>
      <c r="I44" s="7"/>
      <c r="J44" s="7"/>
      <c r="K44" s="7"/>
      <c r="L44" s="7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</row>
    <row r="45" spans="2:27" x14ac:dyDescent="0.25">
      <c r="B45" s="53"/>
      <c r="C45" s="11"/>
      <c r="D45" s="7"/>
      <c r="E45" s="7"/>
      <c r="F45" s="7"/>
      <c r="G45" s="7"/>
      <c r="H45" s="7"/>
      <c r="I45" s="7"/>
      <c r="J45" s="7"/>
      <c r="K45" s="7"/>
      <c r="L45" s="7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</row>
    <row r="46" spans="2:27" x14ac:dyDescent="0.25">
      <c r="B46" s="9" t="s">
        <v>21</v>
      </c>
      <c r="C46" s="11" t="s">
        <v>6</v>
      </c>
      <c r="D46" s="7">
        <f>SUM(D8:D45)</f>
        <v>10988428.571428573</v>
      </c>
      <c r="E46" s="7">
        <f t="shared" ref="E46:L46" si="0">SUM(E8:E45)</f>
        <v>10648428.571428573</v>
      </c>
      <c r="F46" s="7">
        <f t="shared" si="0"/>
        <v>10353428.571428573</v>
      </c>
      <c r="G46" s="7">
        <f t="shared" si="0"/>
        <v>90000</v>
      </c>
      <c r="H46" s="7">
        <f t="shared" si="0"/>
        <v>30000</v>
      </c>
      <c r="I46" s="7">
        <f t="shared" si="0"/>
        <v>350000</v>
      </c>
      <c r="J46" s="7">
        <f t="shared" si="0"/>
        <v>30000</v>
      </c>
      <c r="K46" s="7">
        <f t="shared" si="0"/>
        <v>652500</v>
      </c>
      <c r="L46" s="7">
        <f t="shared" si="0"/>
        <v>652500</v>
      </c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</row>
    <row r="47" spans="2:27" x14ac:dyDescent="0.25">
      <c r="B47" s="21" t="s">
        <v>24</v>
      </c>
      <c r="C47" s="22"/>
      <c r="D47" s="23"/>
      <c r="E47" s="23"/>
      <c r="F47" s="21"/>
      <c r="G47" s="21"/>
      <c r="H47" s="21"/>
      <c r="I47" s="21"/>
      <c r="J47" s="21"/>
      <c r="K47" s="21"/>
      <c r="L47" s="21"/>
    </row>
    <row r="48" spans="2:27" x14ac:dyDescent="0.25">
      <c r="B48" s="10" t="s">
        <v>75</v>
      </c>
      <c r="C48" s="11" t="s">
        <v>6</v>
      </c>
      <c r="D48" s="12">
        <f>IO!D48*Prices!$E$48</f>
        <v>8000000</v>
      </c>
      <c r="E48" s="12">
        <f>IO!E48*Prices!$E$48</f>
        <v>8000000</v>
      </c>
      <c r="F48" s="12">
        <f>IO!F48*Prices!$E$48</f>
        <v>8000000</v>
      </c>
      <c r="G48" s="12">
        <f>IO!G48*Prices!$E$48</f>
        <v>0</v>
      </c>
      <c r="H48" s="12">
        <f>IO!H48*Prices!$E$48</f>
        <v>0</v>
      </c>
      <c r="I48" s="12">
        <f>IO!I48*Prices!$E$48</f>
        <v>0</v>
      </c>
      <c r="J48" s="12">
        <f>IO!J48*Prices!$E$48</f>
        <v>0</v>
      </c>
      <c r="K48" s="12">
        <f>IO!K48*Prices!$E$48</f>
        <v>0</v>
      </c>
      <c r="L48" s="12">
        <f>IO!L48*Prices!$E$48</f>
        <v>0</v>
      </c>
    </row>
    <row r="49" spans="2:27" x14ac:dyDescent="0.25">
      <c r="B49" s="10" t="s">
        <v>76</v>
      </c>
      <c r="C49" s="11" t="s">
        <v>6</v>
      </c>
      <c r="D49" s="7">
        <f>IO!D49*Prices!$E$49</f>
        <v>0</v>
      </c>
      <c r="E49" s="7">
        <f>IO!E49*Prices!$E$49</f>
        <v>0</v>
      </c>
      <c r="F49" s="7">
        <f>IO!F49*Prices!$E$49</f>
        <v>0</v>
      </c>
      <c r="G49" s="7">
        <f>IO!G49*Prices!$E$49</f>
        <v>0</v>
      </c>
      <c r="H49" s="7">
        <f>IO!H49*Prices!$E$49</f>
        <v>0</v>
      </c>
      <c r="I49" s="7">
        <f>IO!I49*Prices!$E$49</f>
        <v>0</v>
      </c>
      <c r="J49" s="7">
        <f>IO!J49*Prices!$E$49</f>
        <v>0</v>
      </c>
      <c r="K49" s="7">
        <f>IO!K49*Prices!$E$49</f>
        <v>65250000</v>
      </c>
      <c r="L49" s="7">
        <f>IO!L49*Prices!$E$49</f>
        <v>0</v>
      </c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</row>
    <row r="50" spans="2:27" x14ac:dyDescent="0.25">
      <c r="B50" s="10" t="s">
        <v>77</v>
      </c>
      <c r="C50" s="11" t="s">
        <v>6</v>
      </c>
      <c r="D50" s="7">
        <f>IO!D50*Prices!$E$50</f>
        <v>0</v>
      </c>
      <c r="E50" s="7">
        <f>IO!E50*Prices!$E$50</f>
        <v>0</v>
      </c>
      <c r="F50" s="7">
        <f>IO!F50*Prices!$E$50</f>
        <v>0</v>
      </c>
      <c r="G50" s="7">
        <f>IO!G50*Prices!$E$50</f>
        <v>0</v>
      </c>
      <c r="H50" s="7">
        <f>IO!H50*Prices!$E$50</f>
        <v>0</v>
      </c>
      <c r="I50" s="7">
        <f>IO!I50*Prices!$E$50</f>
        <v>0</v>
      </c>
      <c r="J50" s="7">
        <f>IO!J50*Prices!$E$50</f>
        <v>0</v>
      </c>
      <c r="K50" s="7">
        <f>IO!K50*Prices!$E$50</f>
        <v>0</v>
      </c>
      <c r="L50" s="7">
        <f>IO!L50*Prices!$E$50</f>
        <v>65250000</v>
      </c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</row>
    <row r="51" spans="2:27" x14ac:dyDescent="0.25">
      <c r="B51" s="10" t="s">
        <v>104</v>
      </c>
      <c r="C51" s="11" t="s">
        <v>6</v>
      </c>
      <c r="D51" s="7">
        <f>IO!D51*Prices!$E$50</f>
        <v>0</v>
      </c>
      <c r="E51" s="7">
        <f>IO!E51*Prices!$E$50</f>
        <v>0</v>
      </c>
      <c r="F51" s="7">
        <f>IO!F51*Prices!$E$50</f>
        <v>0</v>
      </c>
      <c r="G51" s="7">
        <f>IO!G51*Prices!$E$50</f>
        <v>0</v>
      </c>
      <c r="H51" s="7">
        <f>IO!H51*Prices!$E$50</f>
        <v>0</v>
      </c>
      <c r="I51" s="7">
        <f>IO!I51*Prices!$E$51</f>
        <v>600000</v>
      </c>
      <c r="J51" s="7">
        <f>IO!J51*Prices!$E$50</f>
        <v>0</v>
      </c>
      <c r="K51" s="7">
        <f>IO!K51*Prices!$E$50</f>
        <v>0</v>
      </c>
      <c r="L51" s="7">
        <f>IO!L51*Prices!$E$50</f>
        <v>0</v>
      </c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</row>
    <row r="52" spans="2:27" x14ac:dyDescent="0.25">
      <c r="B52" s="10"/>
      <c r="C52" s="11"/>
      <c r="D52" s="7"/>
      <c r="E52" s="7"/>
      <c r="F52" s="7"/>
      <c r="G52" s="7"/>
      <c r="H52" s="7"/>
      <c r="I52" s="7"/>
      <c r="J52" s="7"/>
      <c r="K52" s="7"/>
      <c r="L52" s="7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</row>
    <row r="53" spans="2:27" x14ac:dyDescent="0.25">
      <c r="B53" s="10"/>
      <c r="C53" s="11"/>
      <c r="D53" s="7"/>
      <c r="E53" s="7"/>
      <c r="F53" s="7"/>
      <c r="G53" s="7"/>
      <c r="H53" s="7"/>
      <c r="I53" s="7"/>
      <c r="J53" s="7"/>
      <c r="K53" s="7"/>
      <c r="L53" s="7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</row>
    <row r="54" spans="2:27" x14ac:dyDescent="0.25">
      <c r="B54" s="10"/>
      <c r="C54" s="11"/>
      <c r="D54" s="7"/>
      <c r="E54" s="7"/>
      <c r="F54" s="7"/>
      <c r="G54" s="7"/>
      <c r="H54" s="7"/>
      <c r="I54" s="7"/>
      <c r="J54" s="7"/>
      <c r="K54" s="7"/>
      <c r="L54" s="7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</row>
    <row r="55" spans="2:27" x14ac:dyDescent="0.25">
      <c r="B55" s="10" t="s">
        <v>22</v>
      </c>
      <c r="C55" s="11" t="s">
        <v>6</v>
      </c>
      <c r="D55" s="8">
        <f>SUM(D48:D53)</f>
        <v>8000000</v>
      </c>
      <c r="E55" s="8">
        <f t="shared" ref="E55:L55" si="1">SUM(E48:E53)</f>
        <v>8000000</v>
      </c>
      <c r="F55" s="8">
        <f t="shared" si="1"/>
        <v>8000000</v>
      </c>
      <c r="G55" s="8">
        <f t="shared" si="1"/>
        <v>0</v>
      </c>
      <c r="H55" s="8">
        <f t="shared" si="1"/>
        <v>0</v>
      </c>
      <c r="I55" s="8">
        <f t="shared" si="1"/>
        <v>600000</v>
      </c>
      <c r="J55" s="8">
        <f t="shared" si="1"/>
        <v>0</v>
      </c>
      <c r="K55" s="8">
        <f t="shared" si="1"/>
        <v>65250000</v>
      </c>
      <c r="L55" s="8">
        <f t="shared" si="1"/>
        <v>65250000</v>
      </c>
      <c r="M55" s="3"/>
      <c r="N55" s="3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</row>
    <row r="56" spans="2:27" s="13" customFormat="1" ht="30" customHeight="1" x14ac:dyDescent="0.2">
      <c r="B56" s="14" t="s">
        <v>20</v>
      </c>
      <c r="C56" s="15"/>
      <c r="D56" s="16">
        <f t="shared" ref="D56:L56" si="2">D55-D46</f>
        <v>-2988428.5714285728</v>
      </c>
      <c r="E56" s="16">
        <f t="shared" si="2"/>
        <v>-2648428.5714285728</v>
      </c>
      <c r="F56" s="16">
        <f t="shared" si="2"/>
        <v>-2353428.5714285728</v>
      </c>
      <c r="G56" s="16">
        <f t="shared" si="2"/>
        <v>-90000</v>
      </c>
      <c r="H56" s="16">
        <f t="shared" si="2"/>
        <v>-30000</v>
      </c>
      <c r="I56" s="16">
        <f t="shared" si="2"/>
        <v>250000</v>
      </c>
      <c r="J56" s="16">
        <f t="shared" si="2"/>
        <v>-30000</v>
      </c>
      <c r="K56" s="16">
        <f t="shared" si="2"/>
        <v>64597500</v>
      </c>
      <c r="L56" s="16">
        <f t="shared" si="2"/>
        <v>64597500</v>
      </c>
      <c r="M56" s="17"/>
      <c r="N56" s="17"/>
      <c r="O56" s="18"/>
      <c r="P56" s="18"/>
      <c r="Q56" s="18"/>
      <c r="R56" s="18"/>
      <c r="S56" s="19"/>
      <c r="T56" s="19"/>
      <c r="U56" s="19"/>
      <c r="V56" s="19"/>
      <c r="W56" s="19"/>
      <c r="X56" s="19"/>
      <c r="Y56" s="19"/>
      <c r="Z56" s="19"/>
      <c r="AA56" s="19"/>
    </row>
    <row r="57" spans="2:27" x14ac:dyDescent="0.25">
      <c r="C57" s="1"/>
      <c r="D57" s="3"/>
      <c r="E57" s="3"/>
      <c r="F57" s="3"/>
      <c r="G57" s="3"/>
      <c r="H57" s="3"/>
      <c r="I57" s="3"/>
      <c r="J57" s="3"/>
      <c r="K57" s="3"/>
      <c r="L57" s="3"/>
    </row>
    <row r="58" spans="2:27" x14ac:dyDescent="0.25">
      <c r="B58" s="1" t="s">
        <v>25</v>
      </c>
      <c r="C58" s="3">
        <f>NPV(rate_private,D56:L56)</f>
        <v>61466969.546300188</v>
      </c>
      <c r="D58" s="3"/>
      <c r="E58" s="3"/>
      <c r="F58" s="3"/>
      <c r="G58" s="3"/>
      <c r="H58" s="3"/>
      <c r="I58" s="3"/>
      <c r="J58" s="3"/>
      <c r="K58" s="3"/>
      <c r="L58" s="3"/>
    </row>
    <row r="59" spans="2:27" x14ac:dyDescent="0.25">
      <c r="C59" s="34">
        <f>C58/Summary!D9</f>
        <v>6766.097734803473</v>
      </c>
    </row>
    <row r="60" spans="2:27" x14ac:dyDescent="0.25">
      <c r="B60" s="45" t="s">
        <v>49</v>
      </c>
      <c r="C60" s="59">
        <f>IRR(D56:K56,rate_private)</f>
        <v>0.40178351029311576</v>
      </c>
      <c r="D60" s="60"/>
    </row>
    <row r="61" spans="2:27" x14ac:dyDescent="0.25">
      <c r="B61" s="45" t="s">
        <v>50</v>
      </c>
      <c r="C61" s="61">
        <f>SUM(D46:K46)</f>
        <v>33142785.714285716</v>
      </c>
      <c r="D61" s="60"/>
    </row>
    <row r="62" spans="2:27" x14ac:dyDescent="0.25">
      <c r="B62" s="62" t="s">
        <v>51</v>
      </c>
      <c r="C62" s="61">
        <f>SUM(D28:K45)</f>
        <v>6266785.7142857127</v>
      </c>
      <c r="D62" s="65">
        <f>C62/C61</f>
        <v>0.18908445923374828</v>
      </c>
    </row>
    <row r="63" spans="2:27" x14ac:dyDescent="0.25">
      <c r="B63" s="62" t="s">
        <v>52</v>
      </c>
      <c r="C63" s="61">
        <f>C61-C62</f>
        <v>26876000.000000004</v>
      </c>
      <c r="D63" s="63"/>
    </row>
  </sheetData>
  <mergeCells count="11">
    <mergeCell ref="L4:L5"/>
    <mergeCell ref="G4:G5"/>
    <mergeCell ref="H4:H5"/>
    <mergeCell ref="I4:I5"/>
    <mergeCell ref="J4:J5"/>
    <mergeCell ref="K4:K5"/>
    <mergeCell ref="B4:B5"/>
    <mergeCell ref="F4:F5"/>
    <mergeCell ref="D4:D5"/>
    <mergeCell ref="E4:E5"/>
    <mergeCell ref="C4:C5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Summary</vt:lpstr>
      <vt:lpstr>IO</vt:lpstr>
      <vt:lpstr>Prices</vt:lpstr>
      <vt:lpstr>PB</vt:lpstr>
      <vt:lpstr>nilai_tukar</vt:lpstr>
      <vt:lpstr>rate_private</vt:lpstr>
      <vt:lpstr>rate_social</vt:lpstr>
    </vt:vector>
  </TitlesOfParts>
  <Company>ICRAF Southeast Asian Research Programme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Suseno Budidarsono</dc:creator>
  <cp:lastModifiedBy>Bodro, Dewi Kiswani   (ICRAF)</cp:lastModifiedBy>
  <cp:lastPrinted>2003-01-02T03:16:49Z</cp:lastPrinted>
  <dcterms:created xsi:type="dcterms:W3CDTF">2001-08-01T08:55:37Z</dcterms:created>
  <dcterms:modified xsi:type="dcterms:W3CDTF">2024-03-25T02:21:36Z</dcterms:modified>
</cp:coreProperties>
</file>