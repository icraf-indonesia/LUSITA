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5100" windowHeight="8112" tabRatio="842"/>
  </bookViews>
  <sheets>
    <sheet name="Summary" sheetId="22" r:id="rId1"/>
    <sheet name="IOTable" sheetId="2" r:id="rId2"/>
    <sheet name="Price Table" sheetId="20" r:id="rId3"/>
    <sheet name="PB" sheetId="4" r:id="rId4"/>
    <sheet name="SB" sheetId="7" r:id="rId5"/>
    <sheet name="CF" sheetId="9" r:id="rId6"/>
    <sheet name="Produksi" sheetId="13" r:id="rId7"/>
    <sheet name="Data Dasar" sheetId="21" r:id="rId8"/>
    <sheet name="PAM" sheetId="10" r:id="rId9"/>
    <sheet name="Labor" sheetId="18" r:id="rId10"/>
    <sheet name="Parity" sheetId="24" r:id="rId11"/>
    <sheet name="heavy machine" sheetId="26" r:id="rId12"/>
  </sheets>
  <definedNames>
    <definedName name="_xlnm.Print_Area" localSheetId="5">CF!$B$5:$AG$28</definedName>
    <definedName name="_xlnm.Print_Area" localSheetId="7">'Data Dasar'!$A$2:$F$141</definedName>
    <definedName name="_xlnm.Print_Area" localSheetId="1">IOTable!$D$4:$H$73</definedName>
    <definedName name="_xlnm.Print_Area" localSheetId="9">Labor!$AF$4:$AG$35</definedName>
    <definedName name="_xlnm.Print_Area" localSheetId="8">PAM!$A$1:$G$25</definedName>
    <definedName name="_xlnm.Print_Area" localSheetId="2">'Price Table'!$E$6:$H$86</definedName>
    <definedName name="_xlnm.Print_Titles" localSheetId="5">CF!$A:$A,CF!$1:$4</definedName>
    <definedName name="_xlnm.Print_Titles" localSheetId="1">IOTable!$A:$C,IOTable!$1:$3</definedName>
    <definedName name="_xlnm.Print_Titles" localSheetId="9">Labor!$A:$A,Labor!$2:$3</definedName>
    <definedName name="_xlnm.Print_Titles" localSheetId="2">'Price Table'!$E:$E,'Price Table'!$2:$5</definedName>
  </definedNames>
  <calcPr calcId="125725"/>
</workbook>
</file>

<file path=xl/calcChain.xml><?xml version="1.0" encoding="utf-8"?>
<calcChain xmlns="http://schemas.openxmlformats.org/spreadsheetml/2006/main">
  <c r="I20" i="22"/>
  <c r="F47" i="20" l="1"/>
  <c r="F46"/>
  <c r="F45"/>
  <c r="D32" i="13"/>
  <c r="E7" l="1"/>
  <c r="G7"/>
  <c r="G8" s="1"/>
  <c r="H72" i="2" s="1"/>
  <c r="I7" i="13"/>
  <c r="K7"/>
  <c r="K8" s="1"/>
  <c r="L72" i="2" s="1"/>
  <c r="M7" i="13"/>
  <c r="O7"/>
  <c r="O8" s="1"/>
  <c r="P72" i="2" s="1"/>
  <c r="Q7" i="13"/>
  <c r="S7"/>
  <c r="S8" s="1"/>
  <c r="T72" i="2" s="1"/>
  <c r="U7" i="13"/>
  <c r="W7"/>
  <c r="W8" s="1"/>
  <c r="X72" i="2" s="1"/>
  <c r="Y7" i="13"/>
  <c r="AA7"/>
  <c r="AC7"/>
  <c r="AE7"/>
  <c r="AE8" s="1"/>
  <c r="AF72" i="2" s="1"/>
  <c r="C7" i="13"/>
  <c r="D7"/>
  <c r="D8" s="1"/>
  <c r="E72" i="2" s="1"/>
  <c r="H7" i="13"/>
  <c r="J7"/>
  <c r="J8" s="1"/>
  <c r="K72" i="2" s="1"/>
  <c r="L7" i="13"/>
  <c r="N7"/>
  <c r="N8" s="1"/>
  <c r="O72" i="2" s="1"/>
  <c r="R7" i="13"/>
  <c r="V7"/>
  <c r="V8" s="1"/>
  <c r="W72" i="2" s="1"/>
  <c r="X7" i="13"/>
  <c r="AB7"/>
  <c r="AB8" s="1"/>
  <c r="AC72" i="2" s="1"/>
  <c r="AF7" i="13"/>
  <c r="F7"/>
  <c r="F8" s="1"/>
  <c r="G72" i="2" s="1"/>
  <c r="P7" i="13"/>
  <c r="T7"/>
  <c r="T8" s="1"/>
  <c r="U72" i="2" s="1"/>
  <c r="Z7" i="13"/>
  <c r="Z8" s="1"/>
  <c r="AA72" i="2" s="1"/>
  <c r="AD7" i="13"/>
  <c r="AD8" s="1"/>
  <c r="AE72" i="2" s="1"/>
  <c r="Q8" i="13"/>
  <c r="R72" i="2" s="1"/>
  <c r="AA8" i="13"/>
  <c r="AB72" i="2" s="1"/>
  <c r="H8" i="13"/>
  <c r="I72" i="2" s="1"/>
  <c r="L8" i="13"/>
  <c r="M72" i="2" s="1"/>
  <c r="P8" i="13"/>
  <c r="Q72" i="2" s="1"/>
  <c r="R8" i="13"/>
  <c r="S72" i="2" s="1"/>
  <c r="X8" i="13"/>
  <c r="Y72" i="2" s="1"/>
  <c r="AF8" i="13"/>
  <c r="AG72" i="2" s="1"/>
  <c r="E8" i="13"/>
  <c r="F72" i="2" s="1"/>
  <c r="I8" i="13"/>
  <c r="J72" i="2" s="1"/>
  <c r="M8" i="13"/>
  <c r="N72" i="2" s="1"/>
  <c r="U8" i="13"/>
  <c r="V72" i="2" s="1"/>
  <c r="Y8" i="13"/>
  <c r="Z72" i="2" s="1"/>
  <c r="AC8" i="13"/>
  <c r="AD72" i="2" s="1"/>
  <c r="C8" i="13"/>
  <c r="K8" i="22"/>
  <c r="K7"/>
  <c r="E8" i="21" l="1"/>
  <c r="E6"/>
  <c r="E7"/>
  <c r="D72" i="2"/>
  <c r="AG8" i="13"/>
  <c r="AA23" i="18"/>
  <c r="AB23"/>
  <c r="AC23"/>
  <c r="AD23"/>
  <c r="AE23"/>
  <c r="AA24"/>
  <c r="AB24"/>
  <c r="AC24"/>
  <c r="AD24"/>
  <c r="AE24"/>
  <c r="AA25"/>
  <c r="AB25"/>
  <c r="AC25"/>
  <c r="AD25"/>
  <c r="AE25"/>
  <c r="AG7" i="13" l="1"/>
  <c r="AG5"/>
  <c r="AG25" i="9" l="1"/>
  <c r="AF25"/>
  <c r="AG11"/>
  <c r="AF11"/>
  <c r="AC42" i="7"/>
  <c r="AD42"/>
  <c r="AE42"/>
  <c r="AF42"/>
  <c r="AG42"/>
  <c r="AC44"/>
  <c r="AD44"/>
  <c r="AE44"/>
  <c r="AF44"/>
  <c r="AG44"/>
  <c r="AC45"/>
  <c r="AD45"/>
  <c r="AE45"/>
  <c r="AF45"/>
  <c r="AG45"/>
  <c r="AC58"/>
  <c r="AD58"/>
  <c r="AE58"/>
  <c r="AF58"/>
  <c r="AG58"/>
  <c r="AC60"/>
  <c r="AD60"/>
  <c r="AE60"/>
  <c r="AF60"/>
  <c r="AG60"/>
  <c r="AC3" i="4"/>
  <c r="AC3" i="7" s="1"/>
  <c r="AA5" i="9" s="1"/>
  <c r="AD3" i="4"/>
  <c r="AD3" i="7" s="1"/>
  <c r="AB5" i="9" s="1"/>
  <c r="AE3" i="4"/>
  <c r="AE3" i="7" s="1"/>
  <c r="AC5" i="9" s="1"/>
  <c r="AF3" i="4"/>
  <c r="AF3" i="7" s="1"/>
  <c r="AD5" i="9" s="1"/>
  <c r="AG3" i="4"/>
  <c r="AG3" i="7" s="1"/>
  <c r="AE5" i="9" s="1"/>
  <c r="AC42" i="4"/>
  <c r="AD42"/>
  <c r="AE42"/>
  <c r="AF42"/>
  <c r="AG42"/>
  <c r="AC60"/>
  <c r="AD60"/>
  <c r="AE60"/>
  <c r="AF60"/>
  <c r="AG60"/>
  <c r="AC10" i="2"/>
  <c r="AD10"/>
  <c r="AE10"/>
  <c r="AF10"/>
  <c r="AG10"/>
  <c r="AC20"/>
  <c r="AD20"/>
  <c r="AE20"/>
  <c r="AF20"/>
  <c r="AG20"/>
  <c r="AC27"/>
  <c r="AD27"/>
  <c r="AE27"/>
  <c r="AF27"/>
  <c r="AG27"/>
  <c r="AC33"/>
  <c r="AD33"/>
  <c r="AE33"/>
  <c r="AF33"/>
  <c r="AG33"/>
  <c r="AC49"/>
  <c r="AD49"/>
  <c r="AE49"/>
  <c r="AF49"/>
  <c r="AG49"/>
  <c r="AC50"/>
  <c r="AD50"/>
  <c r="AE50"/>
  <c r="AF50"/>
  <c r="AG50"/>
  <c r="AC58"/>
  <c r="AD58"/>
  <c r="AD57" i="7" s="1"/>
  <c r="AE58" i="2"/>
  <c r="AF58"/>
  <c r="AF57" i="7" s="1"/>
  <c r="AG58" i="2"/>
  <c r="AC64"/>
  <c r="AC39" s="1"/>
  <c r="AC38" i="7" s="1"/>
  <c r="AD64" i="2"/>
  <c r="AD40" s="1"/>
  <c r="AD39" i="7" s="1"/>
  <c r="AE64" i="2"/>
  <c r="AE39" s="1"/>
  <c r="AE38" i="7" s="1"/>
  <c r="AF64" i="2"/>
  <c r="AF40" s="1"/>
  <c r="AF39" i="7" s="1"/>
  <c r="AG64" i="2"/>
  <c r="AG39" s="1"/>
  <c r="AG38" i="7" s="1"/>
  <c r="AC65" i="2"/>
  <c r="AD65"/>
  <c r="AE65"/>
  <c r="AF65"/>
  <c r="AG65"/>
  <c r="AC66"/>
  <c r="AD66"/>
  <c r="AE66"/>
  <c r="AF66"/>
  <c r="AG66"/>
  <c r="AG22" l="1"/>
  <c r="AE35" i="18"/>
  <c r="AE22" i="2"/>
  <c r="AC35" i="18"/>
  <c r="AC22" i="2"/>
  <c r="AA35" i="18"/>
  <c r="AF39" i="4"/>
  <c r="AD39"/>
  <c r="AG57" i="7"/>
  <c r="AE57"/>
  <c r="AC57"/>
  <c r="AF22" i="2"/>
  <c r="AD35" i="18"/>
  <c r="AD22" i="2"/>
  <c r="AB35" i="18"/>
  <c r="AF47" i="2"/>
  <c r="AD47"/>
  <c r="AG42"/>
  <c r="AE42"/>
  <c r="AC42"/>
  <c r="AF41"/>
  <c r="AD41"/>
  <c r="AG40"/>
  <c r="AE40"/>
  <c r="AC40"/>
  <c r="AF39"/>
  <c r="AD39"/>
  <c r="AF28"/>
  <c r="AD28"/>
  <c r="AG47"/>
  <c r="AE47"/>
  <c r="AC47"/>
  <c r="AF42"/>
  <c r="AD42"/>
  <c r="AG41"/>
  <c r="AE41"/>
  <c r="AC41"/>
  <c r="AG28"/>
  <c r="AE28"/>
  <c r="AC28"/>
  <c r="AE40" i="7" l="1"/>
  <c r="AE40" i="4"/>
  <c r="AF38" i="7"/>
  <c r="AD40" i="4"/>
  <c r="AD40" i="7"/>
  <c r="AC41" i="4"/>
  <c r="AC41" i="7"/>
  <c r="AC40"/>
  <c r="AC40" i="4"/>
  <c r="AG40" i="7"/>
  <c r="AG40" i="4"/>
  <c r="AF41" i="7"/>
  <c r="AF41" i="4"/>
  <c r="AD38" i="7"/>
  <c r="AC39" i="4"/>
  <c r="AC39" i="7"/>
  <c r="AG39" i="4"/>
  <c r="AG39" i="7"/>
  <c r="AF40" i="4"/>
  <c r="AF40" i="7"/>
  <c r="AE41" i="4"/>
  <c r="AE41" i="7"/>
  <c r="AD41"/>
  <c r="AD41" i="4"/>
  <c r="AE39"/>
  <c r="AE39" i="7"/>
  <c r="AG41" i="4"/>
  <c r="AG41" i="7"/>
  <c r="AE46"/>
  <c r="AF46"/>
  <c r="AC46"/>
  <c r="AG46"/>
  <c r="AD46"/>
  <c r="F66" i="2" l="1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E66"/>
  <c r="D66"/>
  <c r="E39" i="20" l="1"/>
  <c r="E42" i="7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E42" i="4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D43" i="2"/>
  <c r="D42" i="7" s="1"/>
  <c r="F35" i="20"/>
  <c r="F34"/>
  <c r="F33"/>
  <c r="E35"/>
  <c r="E34"/>
  <c r="E33"/>
  <c r="E27"/>
  <c r="E27" i="2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D27"/>
  <c r="E26" i="20"/>
  <c r="F26" s="1"/>
  <c r="E22"/>
  <c r="E23"/>
  <c r="F23" s="1"/>
  <c r="G48" i="18"/>
  <c r="G47"/>
  <c r="E133" i="21"/>
  <c r="I29" i="2" s="1"/>
  <c r="E134" i="21"/>
  <c r="F30" i="2" s="1"/>
  <c r="E29"/>
  <c r="F29" i="20"/>
  <c r="E29"/>
  <c r="F30"/>
  <c r="E30"/>
  <c r="E30" i="2"/>
  <c r="I30"/>
  <c r="M30"/>
  <c r="Q30"/>
  <c r="U30"/>
  <c r="Y30"/>
  <c r="D30"/>
  <c r="E74" i="21"/>
  <c r="E25" i="20"/>
  <c r="F25" s="1"/>
  <c r="E50"/>
  <c r="E49"/>
  <c r="E24"/>
  <c r="F24" s="1"/>
  <c r="D64" i="21"/>
  <c r="U29" i="2" l="1"/>
  <c r="D29"/>
  <c r="M29"/>
  <c r="Y29"/>
  <c r="Q29"/>
  <c r="AF49" i="4"/>
  <c r="AG49"/>
  <c r="AC49"/>
  <c r="AD49"/>
  <c r="AE49"/>
  <c r="F22" i="20"/>
  <c r="AE21" i="4"/>
  <c r="AC5" i="18" s="1"/>
  <c r="AC21" i="4"/>
  <c r="AA5" i="18" s="1"/>
  <c r="AD21" i="4"/>
  <c r="AB5" i="18" s="1"/>
  <c r="AF21" i="4"/>
  <c r="AD5" i="18" s="1"/>
  <c r="AG21" i="4"/>
  <c r="AE5" i="18" s="1"/>
  <c r="AA30" i="2"/>
  <c r="W30"/>
  <c r="S30"/>
  <c r="O30"/>
  <c r="K30"/>
  <c r="G30"/>
  <c r="AG48" i="4"/>
  <c r="AC48"/>
  <c r="AD48"/>
  <c r="AE48"/>
  <c r="AF48"/>
  <c r="AG38"/>
  <c r="AC38"/>
  <c r="AE38"/>
  <c r="AF38"/>
  <c r="AD38"/>
  <c r="AB30" i="2"/>
  <c r="Z30"/>
  <c r="X30"/>
  <c r="V30"/>
  <c r="T30"/>
  <c r="R30"/>
  <c r="P30"/>
  <c r="N30"/>
  <c r="L30"/>
  <c r="J30"/>
  <c r="H30"/>
  <c r="F29"/>
  <c r="AC29"/>
  <c r="AC28" i="7" s="1"/>
  <c r="AE29" i="2"/>
  <c r="AG29"/>
  <c r="AG28" i="7" s="1"/>
  <c r="AF34" i="2"/>
  <c r="AD29"/>
  <c r="AD28" i="7" s="1"/>
  <c r="AF29" i="2"/>
  <c r="AC34"/>
  <c r="AC33" i="7" s="1"/>
  <c r="AE34" i="2"/>
  <c r="AG34"/>
  <c r="AG33" i="7" s="1"/>
  <c r="AD34" i="2"/>
  <c r="AF30"/>
  <c r="AC30"/>
  <c r="AE30"/>
  <c r="AE29" i="7" s="1"/>
  <c r="AG30" i="2"/>
  <c r="AD30"/>
  <c r="AD29" i="7" s="1"/>
  <c r="AA29" i="2"/>
  <c r="W29"/>
  <c r="S29"/>
  <c r="O29"/>
  <c r="K29"/>
  <c r="G29"/>
  <c r="AE33" i="7"/>
  <c r="AD33"/>
  <c r="AF33"/>
  <c r="AC29"/>
  <c r="AG29"/>
  <c r="AF29"/>
  <c r="AF28"/>
  <c r="AE28"/>
  <c r="AD32"/>
  <c r="AF32"/>
  <c r="AC32"/>
  <c r="AE32"/>
  <c r="AG32"/>
  <c r="AC29" i="4"/>
  <c r="AA14" i="18" s="1"/>
  <c r="AG29" i="4"/>
  <c r="AE14" i="18" s="1"/>
  <c r="AF29" i="4"/>
  <c r="AD14" i="18" s="1"/>
  <c r="AF28" i="4"/>
  <c r="AD13" i="18" s="1"/>
  <c r="AE28" i="4"/>
  <c r="AC13" i="18" s="1"/>
  <c r="AD32" i="4"/>
  <c r="AF32"/>
  <c r="AC32"/>
  <c r="AE32"/>
  <c r="AG32"/>
  <c r="F27" i="20"/>
  <c r="AD26" i="4"/>
  <c r="AB10" i="18" s="1"/>
  <c r="AF26" i="4"/>
  <c r="AD10" i="18" s="1"/>
  <c r="AC26" i="4"/>
  <c r="AA10" i="18" s="1"/>
  <c r="AE26" i="4"/>
  <c r="AC10" i="18" s="1"/>
  <c r="AG26" i="4"/>
  <c r="AE10" i="18" s="1"/>
  <c r="AE33" i="4"/>
  <c r="AD33"/>
  <c r="AF33"/>
  <c r="AB29" i="2"/>
  <c r="Z29"/>
  <c r="X29"/>
  <c r="V29"/>
  <c r="T29"/>
  <c r="R29"/>
  <c r="P29"/>
  <c r="N29"/>
  <c r="L29"/>
  <c r="J29"/>
  <c r="H29"/>
  <c r="D42" i="4"/>
  <c r="E57" i="20"/>
  <c r="E56"/>
  <c r="E55"/>
  <c r="AB50" i="2"/>
  <c r="AB49" i="4" s="1"/>
  <c r="AA50" i="2"/>
  <c r="AA49" i="4" s="1"/>
  <c r="Z50" i="2"/>
  <c r="Z49" i="4" s="1"/>
  <c r="Y50" i="2"/>
  <c r="Y49" i="4" s="1"/>
  <c r="X50" i="2"/>
  <c r="X49" i="4" s="1"/>
  <c r="W50" i="2"/>
  <c r="W49" i="4" s="1"/>
  <c r="V50" i="2"/>
  <c r="V49" i="4" s="1"/>
  <c r="U50" i="2"/>
  <c r="U49" i="4" s="1"/>
  <c r="T50" i="2"/>
  <c r="T49" i="4" s="1"/>
  <c r="S50" i="2"/>
  <c r="S49" i="4" s="1"/>
  <c r="R50" i="2"/>
  <c r="R49" i="4" s="1"/>
  <c r="Q50" i="2"/>
  <c r="Q49" i="4" s="1"/>
  <c r="P50" i="2"/>
  <c r="P49" i="4" s="1"/>
  <c r="O50" i="2"/>
  <c r="O49" i="4" s="1"/>
  <c r="N50" i="2"/>
  <c r="N49" i="4" s="1"/>
  <c r="M50" i="2"/>
  <c r="M49" i="4" s="1"/>
  <c r="L50" i="2"/>
  <c r="L49" i="4" s="1"/>
  <c r="K50" i="2"/>
  <c r="K49" i="4" s="1"/>
  <c r="J50" i="2"/>
  <c r="J49" i="4" s="1"/>
  <c r="I50" i="2"/>
  <c r="I49" i="4" s="1"/>
  <c r="H50" i="2"/>
  <c r="H49" i="4" s="1"/>
  <c r="G50" i="2"/>
  <c r="G49" i="4" s="1"/>
  <c r="F50" i="2"/>
  <c r="F49" i="4" s="1"/>
  <c r="E50" i="2"/>
  <c r="E49" i="4" s="1"/>
  <c r="AB49" i="2"/>
  <c r="AB48" i="4" s="1"/>
  <c r="AA49" i="2"/>
  <c r="AA48" i="4" s="1"/>
  <c r="Z49" i="2"/>
  <c r="Z48" i="4" s="1"/>
  <c r="Y49" i="2"/>
  <c r="Y48" i="4" s="1"/>
  <c r="X49" i="2"/>
  <c r="X48" i="4" s="1"/>
  <c r="W49" i="2"/>
  <c r="W48" i="4" s="1"/>
  <c r="V49" i="2"/>
  <c r="V48" i="4" s="1"/>
  <c r="U49" i="2"/>
  <c r="U48" i="4" s="1"/>
  <c r="T49" i="2"/>
  <c r="T48" i="4" s="1"/>
  <c r="S49" i="2"/>
  <c r="S48" i="4" s="1"/>
  <c r="R49" i="2"/>
  <c r="R48" i="4" s="1"/>
  <c r="Q49" i="2"/>
  <c r="Q48" i="4" s="1"/>
  <c r="P49" i="2"/>
  <c r="P48" i="4" s="1"/>
  <c r="O49" i="2"/>
  <c r="O48" i="4" s="1"/>
  <c r="N49" i="2"/>
  <c r="N48" i="4" s="1"/>
  <c r="M49" i="2"/>
  <c r="M48" i="4" s="1"/>
  <c r="L49" i="2"/>
  <c r="L48" i="4" s="1"/>
  <c r="K49" i="2"/>
  <c r="K48" i="4" s="1"/>
  <c r="J49" i="2"/>
  <c r="J48" i="4" s="1"/>
  <c r="I49" i="2"/>
  <c r="I48" i="4" s="1"/>
  <c r="H49" i="2"/>
  <c r="H48" i="4" s="1"/>
  <c r="G49" i="2"/>
  <c r="G48" i="4" s="1"/>
  <c r="F49" i="2"/>
  <c r="F48" i="4" s="1"/>
  <c r="E49" i="2"/>
  <c r="E48" i="4" s="1"/>
  <c r="D50" i="2"/>
  <c r="D49" i="4" s="1"/>
  <c r="D49" i="2"/>
  <c r="D48" i="4" s="1"/>
  <c r="F50" i="20"/>
  <c r="F49"/>
  <c r="E58" i="2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D58"/>
  <c r="E59" i="20"/>
  <c r="AD58" i="4" l="1"/>
  <c r="AF58"/>
  <c r="AC58"/>
  <c r="AE58"/>
  <c r="AG58"/>
  <c r="E48" i="7"/>
  <c r="AF48"/>
  <c r="AD48"/>
  <c r="AG48"/>
  <c r="AC48"/>
  <c r="AE48"/>
  <c r="AE49"/>
  <c r="AD49"/>
  <c r="AG49"/>
  <c r="AC49"/>
  <c r="AF49"/>
  <c r="AF21"/>
  <c r="AE21"/>
  <c r="AD21"/>
  <c r="AC21"/>
  <c r="AG21"/>
  <c r="AG33" i="4"/>
  <c r="AC33"/>
  <c r="AG28"/>
  <c r="AE13" i="18" s="1"/>
  <c r="AC28" i="4"/>
  <c r="AA13" i="18" s="1"/>
  <c r="AD28" i="4"/>
  <c r="AB13" i="18" s="1"/>
  <c r="AD29" i="4"/>
  <c r="AB14" i="18" s="1"/>
  <c r="AE29" i="4"/>
  <c r="AC14" i="18" s="1"/>
  <c r="AC9" i="2"/>
  <c r="AC8" i="4" s="1"/>
  <c r="AE9" i="2"/>
  <c r="AE8" i="4" s="1"/>
  <c r="AG9" i="2"/>
  <c r="AG8" i="4" s="1"/>
  <c r="AD9" i="2"/>
  <c r="AD8" i="4" s="1"/>
  <c r="AF9" i="2"/>
  <c r="AF8" i="4" s="1"/>
  <c r="AC7" i="2"/>
  <c r="AE7"/>
  <c r="AG7"/>
  <c r="AD7"/>
  <c r="AF7"/>
  <c r="AD8"/>
  <c r="AD7" i="4" s="1"/>
  <c r="AF8" i="2"/>
  <c r="AF7" i="4" s="1"/>
  <c r="AC8" i="2"/>
  <c r="AC7" i="4" s="1"/>
  <c r="AE8" i="2"/>
  <c r="AE7" i="4" s="1"/>
  <c r="AG8" i="2"/>
  <c r="AG7" i="4" s="1"/>
  <c r="AC26" i="7"/>
  <c r="AE26"/>
  <c r="AG26"/>
  <c r="AD26"/>
  <c r="AF26"/>
  <c r="E49"/>
  <c r="D49"/>
  <c r="D48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AD6" l="1"/>
  <c r="AD6" i="4"/>
  <c r="AE6" i="7"/>
  <c r="AE6" i="4"/>
  <c r="AF6" i="7"/>
  <c r="AF6" i="4"/>
  <c r="AG6" i="7"/>
  <c r="AG6" i="4"/>
  <c r="AC6" i="7"/>
  <c r="AC6" i="4"/>
  <c r="AB65" i="2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G44" i="18"/>
  <c r="G42"/>
  <c r="C98"/>
  <c r="G43" s="1"/>
  <c r="B98"/>
  <c r="B81"/>
  <c r="B74"/>
  <c r="B69"/>
  <c r="E11" i="21"/>
  <c r="K20" i="2"/>
  <c r="L20"/>
  <c r="M20"/>
  <c r="N20"/>
  <c r="O20"/>
  <c r="P20"/>
  <c r="Q20"/>
  <c r="R20"/>
  <c r="S20"/>
  <c r="T20"/>
  <c r="U20"/>
  <c r="V20"/>
  <c r="W20"/>
  <c r="X20"/>
  <c r="Y20"/>
  <c r="Z20"/>
  <c r="AA20"/>
  <c r="AB20"/>
  <c r="E20"/>
  <c r="F20"/>
  <c r="G20"/>
  <c r="H20"/>
  <c r="I20"/>
  <c r="J20"/>
  <c r="D20"/>
  <c r="E3" i="4"/>
  <c r="E3" i="7" s="1"/>
  <c r="C5" i="9" s="1"/>
  <c r="F3" i="4"/>
  <c r="F3" i="7" s="1"/>
  <c r="D5" i="9" s="1"/>
  <c r="G3" i="4"/>
  <c r="G3" i="7" s="1"/>
  <c r="E5" i="9" s="1"/>
  <c r="H3" i="4"/>
  <c r="H3" i="7" s="1"/>
  <c r="F5" i="9" s="1"/>
  <c r="I3" i="4"/>
  <c r="I3" i="7" s="1"/>
  <c r="G5" i="9" s="1"/>
  <c r="J3" i="4"/>
  <c r="J3" i="7" s="1"/>
  <c r="H5" i="9" s="1"/>
  <c r="K3" i="4"/>
  <c r="K3" i="7" s="1"/>
  <c r="I5" i="9" s="1"/>
  <c r="L3" i="4"/>
  <c r="L3" i="7" s="1"/>
  <c r="J5" i="9" s="1"/>
  <c r="M3" i="4"/>
  <c r="M3" i="7" s="1"/>
  <c r="K5" i="9" s="1"/>
  <c r="N3" i="4"/>
  <c r="N3" i="7" s="1"/>
  <c r="L5" i="9" s="1"/>
  <c r="O3" i="4"/>
  <c r="O3" i="7" s="1"/>
  <c r="M5" i="9" s="1"/>
  <c r="P3" i="4"/>
  <c r="P3" i="7" s="1"/>
  <c r="N5" i="9" s="1"/>
  <c r="Q3" i="4"/>
  <c r="Q3" i="7" s="1"/>
  <c r="O5" i="9" s="1"/>
  <c r="R3" i="4"/>
  <c r="R3" i="7" s="1"/>
  <c r="P5" i="9" s="1"/>
  <c r="S3" i="4"/>
  <c r="S3" i="7" s="1"/>
  <c r="Q5" i="9" s="1"/>
  <c r="T3" i="4"/>
  <c r="T3" i="7" s="1"/>
  <c r="R5" i="9" s="1"/>
  <c r="U3" i="4"/>
  <c r="U3" i="7" s="1"/>
  <c r="S5" i="9" s="1"/>
  <c r="V3" i="4"/>
  <c r="V3" i="7" s="1"/>
  <c r="T5" i="9" s="1"/>
  <c r="W3" i="4"/>
  <c r="W3" i="7" s="1"/>
  <c r="U5" i="9" s="1"/>
  <c r="X3" i="4"/>
  <c r="X3" i="7" s="1"/>
  <c r="V5" i="9" s="1"/>
  <c r="Y3" i="4"/>
  <c r="Y3" i="7" s="1"/>
  <c r="W5" i="9" s="1"/>
  <c r="Z3" i="4"/>
  <c r="Z3" i="7" s="1"/>
  <c r="X5" i="9" s="1"/>
  <c r="AA3" i="4"/>
  <c r="AA3" i="7" s="1"/>
  <c r="Y5" i="9" s="1"/>
  <c r="AB3" i="4"/>
  <c r="AB3" i="7" s="1"/>
  <c r="Z5" i="9" s="1"/>
  <c r="D3" i="4"/>
  <c r="D3" i="7" s="1"/>
  <c r="B5" i="9" s="1"/>
  <c r="C50" i="18"/>
  <c r="B50"/>
  <c r="E39" i="2" l="1"/>
  <c r="E38" i="7" s="1"/>
  <c r="E40" i="2"/>
  <c r="E41"/>
  <c r="E42"/>
  <c r="F39"/>
  <c r="F38" i="7" s="1"/>
  <c r="F40" i="2"/>
  <c r="F41"/>
  <c r="F42"/>
  <c r="G39"/>
  <c r="G38" i="7" s="1"/>
  <c r="G40" i="2"/>
  <c r="G41"/>
  <c r="G42"/>
  <c r="H39"/>
  <c r="H38" i="7" s="1"/>
  <c r="H40" i="2"/>
  <c r="H41"/>
  <c r="H42"/>
  <c r="I39"/>
  <c r="I38" i="7" s="1"/>
  <c r="I40" i="2"/>
  <c r="I41"/>
  <c r="I42"/>
  <c r="J39"/>
  <c r="J38" i="7" s="1"/>
  <c r="J40" i="2"/>
  <c r="J41"/>
  <c r="J42"/>
  <c r="K39"/>
  <c r="K38" i="7" s="1"/>
  <c r="K40" i="2"/>
  <c r="K41"/>
  <c r="K42"/>
  <c r="L39"/>
  <c r="L38" i="7" s="1"/>
  <c r="L40" i="2"/>
  <c r="L41"/>
  <c r="L42"/>
  <c r="M39"/>
  <c r="M38" i="7" s="1"/>
  <c r="M40" i="2"/>
  <c r="M41"/>
  <c r="M42"/>
  <c r="N39"/>
  <c r="N38" i="7" s="1"/>
  <c r="N40" i="2"/>
  <c r="N41"/>
  <c r="N42"/>
  <c r="O39"/>
  <c r="O38" i="7" s="1"/>
  <c r="O40" i="2"/>
  <c r="O41"/>
  <c r="O42"/>
  <c r="P39"/>
  <c r="P38" i="7" s="1"/>
  <c r="P40" i="2"/>
  <c r="P41"/>
  <c r="P42"/>
  <c r="Q39"/>
  <c r="Q38" i="7" s="1"/>
  <c r="Q40" i="2"/>
  <c r="Q41"/>
  <c r="Q42"/>
  <c r="R39"/>
  <c r="R38" i="7" s="1"/>
  <c r="R40" i="2"/>
  <c r="R41"/>
  <c r="R42"/>
  <c r="S39"/>
  <c r="S38" i="7" s="1"/>
  <c r="S40" i="2"/>
  <c r="S41"/>
  <c r="S42"/>
  <c r="T39"/>
  <c r="T38" i="7" s="1"/>
  <c r="T40" i="2"/>
  <c r="T41"/>
  <c r="T42"/>
  <c r="U39"/>
  <c r="U38" i="7" s="1"/>
  <c r="U40" i="2"/>
  <c r="U41"/>
  <c r="U42"/>
  <c r="V39"/>
  <c r="V38" i="7" s="1"/>
  <c r="V40" i="2"/>
  <c r="V41"/>
  <c r="V42"/>
  <c r="W39"/>
  <c r="W38" i="7" s="1"/>
  <c r="W40" i="2"/>
  <c r="W41"/>
  <c r="W42"/>
  <c r="X39"/>
  <c r="X38" i="7" s="1"/>
  <c r="X40" i="2"/>
  <c r="X41"/>
  <c r="X42"/>
  <c r="Y39"/>
  <c r="Y38" i="7" s="1"/>
  <c r="Y40" i="2"/>
  <c r="Y41"/>
  <c r="Y42"/>
  <c r="Z39"/>
  <c r="Z38" i="7" s="1"/>
  <c r="Z40" i="2"/>
  <c r="Z41"/>
  <c r="Z42"/>
  <c r="AA39"/>
  <c r="AA38" i="7" s="1"/>
  <c r="AA40" i="2"/>
  <c r="AA41"/>
  <c r="AA42"/>
  <c r="AB39"/>
  <c r="AB38" i="7" s="1"/>
  <c r="AB40" i="2"/>
  <c r="AB41"/>
  <c r="AB42"/>
  <c r="D39"/>
  <c r="D42"/>
  <c r="D41"/>
  <c r="D40"/>
  <c r="G45" i="18"/>
  <c r="D39" i="7" l="1"/>
  <c r="D39" i="4"/>
  <c r="D40" i="7"/>
  <c r="D40" i="4"/>
  <c r="D41" i="7"/>
  <c r="D41" i="4"/>
  <c r="AB41" i="7"/>
  <c r="AB41" i="4"/>
  <c r="AB40" i="7"/>
  <c r="AB40" i="4"/>
  <c r="AB39" i="7"/>
  <c r="AB39" i="4"/>
  <c r="AA41" i="7"/>
  <c r="AA41" i="4"/>
  <c r="AA40" i="7"/>
  <c r="AA40" i="4"/>
  <c r="AA39" i="7"/>
  <c r="AA39" i="4"/>
  <c r="Z41" i="7"/>
  <c r="Z41" i="4"/>
  <c r="Z40" i="7"/>
  <c r="Z40" i="4"/>
  <c r="Z39" i="7"/>
  <c r="Z39" i="4"/>
  <c r="Y41" i="7"/>
  <c r="Y41" i="4"/>
  <c r="Y40" i="7"/>
  <c r="Y40" i="4"/>
  <c r="Y39" i="7"/>
  <c r="Y39" i="4"/>
  <c r="X41" i="7"/>
  <c r="X41" i="4"/>
  <c r="X40" i="7"/>
  <c r="X40" i="4"/>
  <c r="X39" i="7"/>
  <c r="X39" i="4"/>
  <c r="W41" i="7"/>
  <c r="W41" i="4"/>
  <c r="W40" i="7"/>
  <c r="W40" i="4"/>
  <c r="W39" i="7"/>
  <c r="W39" i="4"/>
  <c r="V41" i="7"/>
  <c r="V41" i="4"/>
  <c r="V40" i="7"/>
  <c r="V40" i="4"/>
  <c r="V39" i="7"/>
  <c r="V39" i="4"/>
  <c r="U41" i="7"/>
  <c r="U41" i="4"/>
  <c r="U40" i="7"/>
  <c r="U40" i="4"/>
  <c r="U39" i="7"/>
  <c r="U39" i="4"/>
  <c r="T41" i="7"/>
  <c r="T41" i="4"/>
  <c r="T40" i="7"/>
  <c r="T40" i="4"/>
  <c r="T39" i="7"/>
  <c r="T39" i="4"/>
  <c r="S41" i="7"/>
  <c r="S41" i="4"/>
  <c r="S40" i="7"/>
  <c r="S40" i="4"/>
  <c r="S39" i="7"/>
  <c r="S39" i="4"/>
  <c r="R41" i="7"/>
  <c r="R41" i="4"/>
  <c r="R40" i="7"/>
  <c r="R40" i="4"/>
  <c r="R39" i="7"/>
  <c r="R39" i="4"/>
  <c r="Q41" i="7"/>
  <c r="Q41" i="4"/>
  <c r="Q40" i="7"/>
  <c r="Q40" i="4"/>
  <c r="Q39" i="7"/>
  <c r="Q39" i="4"/>
  <c r="P41" i="7"/>
  <c r="P41" i="4"/>
  <c r="P40" i="7"/>
  <c r="P40" i="4"/>
  <c r="P39" i="7"/>
  <c r="P39" i="4"/>
  <c r="O41" i="7"/>
  <c r="O41" i="4"/>
  <c r="O40" i="7"/>
  <c r="O40" i="4"/>
  <c r="O39" i="7"/>
  <c r="O39" i="4"/>
  <c r="N41" i="7"/>
  <c r="N41" i="4"/>
  <c r="N40" i="7"/>
  <c r="N40" i="4"/>
  <c r="N39" i="7"/>
  <c r="N39" i="4"/>
  <c r="M41" i="7"/>
  <c r="M41" i="4"/>
  <c r="M40" i="7"/>
  <c r="M40" i="4"/>
  <c r="M39" i="7"/>
  <c r="M39" i="4"/>
  <c r="L41" i="7"/>
  <c r="L41" i="4"/>
  <c r="L40" i="7"/>
  <c r="L40" i="4"/>
  <c r="L39" i="7"/>
  <c r="L39" i="4"/>
  <c r="K41" i="7"/>
  <c r="K41" i="4"/>
  <c r="K40" i="7"/>
  <c r="K40" i="4"/>
  <c r="K39" i="7"/>
  <c r="K39" i="4"/>
  <c r="J41" i="7"/>
  <c r="J41" i="4"/>
  <c r="J40" i="7"/>
  <c r="J40" i="4"/>
  <c r="J39" i="7"/>
  <c r="J39" i="4"/>
  <c r="I41" i="7"/>
  <c r="I41" i="4"/>
  <c r="I40" i="7"/>
  <c r="I40" i="4"/>
  <c r="I39" i="7"/>
  <c r="I39" i="4"/>
  <c r="H41" i="7"/>
  <c r="H41" i="4"/>
  <c r="H40" i="7"/>
  <c r="H40" i="4"/>
  <c r="H39" i="7"/>
  <c r="H39" i="4"/>
  <c r="G41" i="7"/>
  <c r="G41" i="4"/>
  <c r="G40" i="7"/>
  <c r="G40" i="4"/>
  <c r="G39" i="7"/>
  <c r="G39" i="4"/>
  <c r="F41" i="7"/>
  <c r="F41" i="4"/>
  <c r="F40" i="7"/>
  <c r="F40" i="4"/>
  <c r="F39" i="7"/>
  <c r="F39" i="4"/>
  <c r="E41" i="7"/>
  <c r="E41" i="4"/>
  <c r="E40" i="7"/>
  <c r="E40" i="4"/>
  <c r="E39" i="7"/>
  <c r="E39" i="4"/>
  <c r="E58" i="20"/>
  <c r="E41" i="21"/>
  <c r="F69" i="20"/>
  <c r="E69"/>
  <c r="E52" s="1"/>
  <c r="E17" i="21"/>
  <c r="I9" i="24"/>
  <c r="H9"/>
  <c r="G9"/>
  <c r="F9"/>
  <c r="E9"/>
  <c r="D9"/>
  <c r="C9"/>
  <c r="I8"/>
  <c r="H8"/>
  <c r="G8"/>
  <c r="F8"/>
  <c r="E8"/>
  <c r="D8"/>
  <c r="C8"/>
  <c r="C7"/>
  <c r="D7"/>
  <c r="E7"/>
  <c r="D6" i="21"/>
  <c r="D7"/>
  <c r="D8"/>
  <c r="D17"/>
  <c r="D12" s="1"/>
  <c r="D23"/>
  <c r="D55"/>
  <c r="D56"/>
  <c r="E90"/>
  <c r="E100"/>
  <c r="E101"/>
  <c r="E103"/>
  <c r="E105"/>
  <c r="E106"/>
  <c r="E107"/>
  <c r="E108"/>
  <c r="E109"/>
  <c r="E111"/>
  <c r="D118"/>
  <c r="D35" i="2" s="1"/>
  <c r="D34" i="7" s="1"/>
  <c r="C165" i="21"/>
  <c r="D165"/>
  <c r="D171"/>
  <c r="D177"/>
  <c r="D181"/>
  <c r="D182"/>
  <c r="D196"/>
  <c r="D197"/>
  <c r="D198"/>
  <c r="D199"/>
  <c r="D200"/>
  <c r="D201"/>
  <c r="D203"/>
  <c r="D205"/>
  <c r="C229"/>
  <c r="H247"/>
  <c r="H251"/>
  <c r="C253"/>
  <c r="C255"/>
  <c r="E10" i="20"/>
  <c r="E11"/>
  <c r="E14"/>
  <c r="D13" i="4" s="1"/>
  <c r="D74" s="1"/>
  <c r="B10" i="9" s="1"/>
  <c r="E15" i="20"/>
  <c r="E20"/>
  <c r="F20"/>
  <c r="E45"/>
  <c r="V44" i="4" s="1"/>
  <c r="E46" i="20"/>
  <c r="E47"/>
  <c r="T46" i="4" s="1"/>
  <c r="E60" i="20"/>
  <c r="D22" i="2"/>
  <c r="D23"/>
  <c r="D28"/>
  <c r="D33"/>
  <c r="D32" i="7" s="1"/>
  <c r="D34" i="2"/>
  <c r="D33" i="7" s="1"/>
  <c r="D38"/>
  <c r="E22" i="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D45"/>
  <c r="D44" i="7" s="1"/>
  <c r="D46" i="2"/>
  <c r="D45" i="7" s="1"/>
  <c r="D47" i="2"/>
  <c r="D46" i="7" s="1"/>
  <c r="D57"/>
  <c r="D58"/>
  <c r="X22" i="2"/>
  <c r="Y22"/>
  <c r="Z22"/>
  <c r="AA22"/>
  <c r="AA21" i="4" s="1"/>
  <c r="Y5" i="18" s="1"/>
  <c r="AB22" i="2"/>
  <c r="B3" i="10"/>
  <c r="D10" i="4"/>
  <c r="D14"/>
  <c r="B35" i="18"/>
  <c r="B32" s="1"/>
  <c r="E23" i="2"/>
  <c r="E28"/>
  <c r="C35" i="18"/>
  <c r="F23" i="2"/>
  <c r="F28"/>
  <c r="D35" i="18"/>
  <c r="G23" i="2"/>
  <c r="G28"/>
  <c r="E35" i="18"/>
  <c r="H23" i="2"/>
  <c r="H28"/>
  <c r="F35" i="18"/>
  <c r="I23" i="2"/>
  <c r="I28"/>
  <c r="G35" i="18"/>
  <c r="J23" i="2"/>
  <c r="J28"/>
  <c r="H35" i="18"/>
  <c r="K23" i="2"/>
  <c r="K28"/>
  <c r="I35" i="18"/>
  <c r="L23" i="2"/>
  <c r="L28"/>
  <c r="J35" i="18"/>
  <c r="M23" i="2"/>
  <c r="M28"/>
  <c r="K35" i="18"/>
  <c r="N23" i="2"/>
  <c r="N28"/>
  <c r="L35" i="18"/>
  <c r="O23" i="2"/>
  <c r="O28"/>
  <c r="M35" i="18"/>
  <c r="P23" i="2"/>
  <c r="P28"/>
  <c r="N35" i="18"/>
  <c r="Q23" i="2"/>
  <c r="Q28"/>
  <c r="O35" i="18"/>
  <c r="R23" i="2"/>
  <c r="R28"/>
  <c r="P35" i="18"/>
  <c r="S23" i="2"/>
  <c r="S28"/>
  <c r="Q35" i="18"/>
  <c r="T23" i="2"/>
  <c r="T28"/>
  <c r="R35" i="18"/>
  <c r="U23" i="2"/>
  <c r="U28"/>
  <c r="S35" i="18"/>
  <c r="V23" i="2"/>
  <c r="V28"/>
  <c r="T35" i="18"/>
  <c r="W23" i="2"/>
  <c r="W28"/>
  <c r="U35" i="18"/>
  <c r="X28" i="2"/>
  <c r="V35" i="18"/>
  <c r="Y28" i="2"/>
  <c r="W35" i="18"/>
  <c r="Z28" i="2"/>
  <c r="X35" i="18"/>
  <c r="AA28" i="2"/>
  <c r="Y35" i="18"/>
  <c r="AB21" i="4"/>
  <c r="Z5" i="18" s="1"/>
  <c r="AB28" i="2"/>
  <c r="Z35" i="18"/>
  <c r="E33" i="2"/>
  <c r="E32" i="7" s="1"/>
  <c r="E34" i="2"/>
  <c r="E33" i="7" s="1"/>
  <c r="E44"/>
  <c r="E45"/>
  <c r="E47" i="2"/>
  <c r="E46" i="7" s="1"/>
  <c r="E57"/>
  <c r="E58"/>
  <c r="F33" i="2"/>
  <c r="F32" i="7" s="1"/>
  <c r="F34" i="2"/>
  <c r="F33" i="7" s="1"/>
  <c r="F35" i="2"/>
  <c r="F34" i="7" s="1"/>
  <c r="F44"/>
  <c r="F45"/>
  <c r="F47" i="2"/>
  <c r="F46" i="7" s="1"/>
  <c r="F57"/>
  <c r="F58"/>
  <c r="G33" i="2"/>
  <c r="G32" i="7" s="1"/>
  <c r="G34" i="2"/>
  <c r="G33" i="7" s="1"/>
  <c r="G35" i="2"/>
  <c r="G34" i="7" s="1"/>
  <c r="G44"/>
  <c r="G45"/>
  <c r="G47" i="2"/>
  <c r="G46" i="7" s="1"/>
  <c r="G57"/>
  <c r="G58"/>
  <c r="H33" i="2"/>
  <c r="H32" i="7" s="1"/>
  <c r="H34" i="2"/>
  <c r="H33" i="7" s="1"/>
  <c r="H44"/>
  <c r="H45"/>
  <c r="H47" i="2"/>
  <c r="H46" i="7" s="1"/>
  <c r="H57"/>
  <c r="H58"/>
  <c r="I33" i="2"/>
  <c r="I32" i="7" s="1"/>
  <c r="I34" i="2"/>
  <c r="I33" i="7" s="1"/>
  <c r="I44"/>
  <c r="I46" i="2"/>
  <c r="I45" i="7" s="1"/>
  <c r="I47" i="2"/>
  <c r="I46" i="7" s="1"/>
  <c r="I57"/>
  <c r="I58"/>
  <c r="J33" i="2"/>
  <c r="J32" i="7"/>
  <c r="J34" i="2"/>
  <c r="J33" i="7" s="1"/>
  <c r="J35" i="2"/>
  <c r="J34" i="7" s="1"/>
  <c r="J44"/>
  <c r="J45"/>
  <c r="J47" i="2"/>
  <c r="J46" i="7" s="1"/>
  <c r="J57"/>
  <c r="J58"/>
  <c r="K33" i="2"/>
  <c r="K32" i="7" s="1"/>
  <c r="K34" i="2"/>
  <c r="K33" i="7" s="1"/>
  <c r="K35" i="2"/>
  <c r="K34" i="7" s="1"/>
  <c r="K44"/>
  <c r="K45"/>
  <c r="K47" i="2"/>
  <c r="K46" i="7" s="1"/>
  <c r="K57"/>
  <c r="K58"/>
  <c r="L33" i="2"/>
  <c r="L32" i="7" s="1"/>
  <c r="L34" i="2"/>
  <c r="L33" i="7" s="1"/>
  <c r="L35" i="2"/>
  <c r="L34" i="7" s="1"/>
  <c r="L44"/>
  <c r="L45"/>
  <c r="L47" i="2"/>
  <c r="L46" i="7" s="1"/>
  <c r="L57"/>
  <c r="L58"/>
  <c r="M33" i="2"/>
  <c r="M32" i="7" s="1"/>
  <c r="M34" i="2"/>
  <c r="M33" i="7" s="1"/>
  <c r="M35" i="2"/>
  <c r="M34" i="7" s="1"/>
  <c r="M44"/>
  <c r="M45"/>
  <c r="M47" i="2"/>
  <c r="M46" i="7" s="1"/>
  <c r="M57"/>
  <c r="M58"/>
  <c r="N33" i="2"/>
  <c r="N32" i="7" s="1"/>
  <c r="N34" i="2"/>
  <c r="N33" i="7" s="1"/>
  <c r="N35" i="2"/>
  <c r="N34" i="7" s="1"/>
  <c r="N44"/>
  <c r="N46" i="2"/>
  <c r="N45" i="7" s="1"/>
  <c r="N47" i="2"/>
  <c r="N46" i="7" s="1"/>
  <c r="N57"/>
  <c r="N58"/>
  <c r="O33" i="2"/>
  <c r="O32" i="7" s="1"/>
  <c r="O34" i="2"/>
  <c r="O33" i="7" s="1"/>
  <c r="O35" i="2"/>
  <c r="O34" i="7" s="1"/>
  <c r="O44"/>
  <c r="O45"/>
  <c r="O47" i="2"/>
  <c r="O46" i="7" s="1"/>
  <c r="O57"/>
  <c r="O58"/>
  <c r="P33" i="2"/>
  <c r="P32" i="7" s="1"/>
  <c r="P34" i="2"/>
  <c r="P33" i="7" s="1"/>
  <c r="P35" i="2"/>
  <c r="P34" i="7" s="1"/>
  <c r="P44"/>
  <c r="P45"/>
  <c r="P47" i="2"/>
  <c r="P46" i="7" s="1"/>
  <c r="P57"/>
  <c r="P58"/>
  <c r="Q33" i="2"/>
  <c r="Q32" i="7" s="1"/>
  <c r="Q34" i="2"/>
  <c r="Q33" i="7" s="1"/>
  <c r="Q35" i="2"/>
  <c r="Q34" i="7" s="1"/>
  <c r="Q44"/>
  <c r="Q45"/>
  <c r="Q47" i="2"/>
  <c r="Q46" i="7" s="1"/>
  <c r="Q57"/>
  <c r="Q58"/>
  <c r="R33" i="2"/>
  <c r="R32" i="7" s="1"/>
  <c r="R34" i="2"/>
  <c r="R33" i="7" s="1"/>
  <c r="R35" i="2"/>
  <c r="R34" i="7" s="1"/>
  <c r="R44"/>
  <c r="R45"/>
  <c r="R47" i="2"/>
  <c r="R46" i="7" s="1"/>
  <c r="R57"/>
  <c r="R58"/>
  <c r="S33" i="2"/>
  <c r="S32" i="7" s="1"/>
  <c r="S34" i="2"/>
  <c r="S33" i="7" s="1"/>
  <c r="S35" i="2"/>
  <c r="S34" i="7" s="1"/>
  <c r="S44"/>
  <c r="S46" i="2"/>
  <c r="S45" i="7" s="1"/>
  <c r="S47" i="2"/>
  <c r="S46" i="7" s="1"/>
  <c r="S57"/>
  <c r="S58"/>
  <c r="T33" i="2"/>
  <c r="T32" i="7" s="1"/>
  <c r="T34" i="2"/>
  <c r="T33" i="7" s="1"/>
  <c r="T35" i="2"/>
  <c r="T34" i="7" s="1"/>
  <c r="T44"/>
  <c r="T45"/>
  <c r="T47" i="2"/>
  <c r="T46" i="7" s="1"/>
  <c r="T57"/>
  <c r="T58"/>
  <c r="U33" i="2"/>
  <c r="U32" i="7" s="1"/>
  <c r="U34" i="2"/>
  <c r="U33" i="7" s="1"/>
  <c r="U35" i="2"/>
  <c r="U34" i="7" s="1"/>
  <c r="U44"/>
  <c r="U45"/>
  <c r="U47" i="2"/>
  <c r="U46" i="7" s="1"/>
  <c r="U57"/>
  <c r="U58"/>
  <c r="V33" i="2"/>
  <c r="V32" i="7" s="1"/>
  <c r="V34" i="2"/>
  <c r="V33" i="7" s="1"/>
  <c r="V35" i="2"/>
  <c r="V34" i="7" s="1"/>
  <c r="V44"/>
  <c r="V45"/>
  <c r="V47" i="2"/>
  <c r="V46" i="7" s="1"/>
  <c r="V57"/>
  <c r="V58"/>
  <c r="W33" i="2"/>
  <c r="W32" i="7" s="1"/>
  <c r="W34" i="2"/>
  <c r="W33" i="7" s="1"/>
  <c r="W35" i="2"/>
  <c r="W34" i="7" s="1"/>
  <c r="W44"/>
  <c r="W45"/>
  <c r="W47" i="2"/>
  <c r="W46" i="7" s="1"/>
  <c r="W57"/>
  <c r="W58"/>
  <c r="X33" i="2"/>
  <c r="X32" i="7" s="1"/>
  <c r="X34" i="2"/>
  <c r="X33" i="7" s="1"/>
  <c r="X35" i="2"/>
  <c r="X34" i="7" s="1"/>
  <c r="X45" i="2"/>
  <c r="X44" i="7" s="1"/>
  <c r="X46" i="2"/>
  <c r="X45" i="7" s="1"/>
  <c r="X47" i="2"/>
  <c r="X46" i="7" s="1"/>
  <c r="X57"/>
  <c r="X58"/>
  <c r="Y33" i="2"/>
  <c r="Y32" i="7" s="1"/>
  <c r="Y34" i="2"/>
  <c r="Y33" i="7" s="1"/>
  <c r="Y35" i="2"/>
  <c r="Y34" i="7" s="1"/>
  <c r="Y44"/>
  <c r="Y45"/>
  <c r="Y47" i="2"/>
  <c r="Y46" i="7" s="1"/>
  <c r="Y57"/>
  <c r="Y58"/>
  <c r="Z33" i="2"/>
  <c r="Z32" i="7" s="1"/>
  <c r="Z34" i="2"/>
  <c r="Z33" i="7" s="1"/>
  <c r="Z35" i="2"/>
  <c r="Z34" i="7" s="1"/>
  <c r="Z44"/>
  <c r="Z45"/>
  <c r="Z47" i="2"/>
  <c r="Z46" i="7" s="1"/>
  <c r="Z57"/>
  <c r="Z58"/>
  <c r="AA33" i="2"/>
  <c r="AA32" i="7" s="1"/>
  <c r="AA34" i="2"/>
  <c r="AA33" i="7" s="1"/>
  <c r="AA35" i="2"/>
  <c r="AA34" i="7" s="1"/>
  <c r="AA44"/>
  <c r="AA45"/>
  <c r="AA47" i="2"/>
  <c r="AA46" i="7" s="1"/>
  <c r="AA57"/>
  <c r="AA58"/>
  <c r="AB33" i="2"/>
  <c r="AB32" i="7" s="1"/>
  <c r="AB34" i="2"/>
  <c r="AB33" i="7" s="1"/>
  <c r="AB35" i="2"/>
  <c r="AB34" i="7" s="1"/>
  <c r="AB44"/>
  <c r="AB45"/>
  <c r="AB47" i="2"/>
  <c r="AB46" i="7" s="1"/>
  <c r="AB57"/>
  <c r="AB58"/>
  <c r="AB10" i="4"/>
  <c r="AB14"/>
  <c r="AB44"/>
  <c r="AB45"/>
  <c r="AA10"/>
  <c r="AA14"/>
  <c r="AA33"/>
  <c r="AA44"/>
  <c r="AA45"/>
  <c r="Z10"/>
  <c r="Z14"/>
  <c r="Z44"/>
  <c r="Z45"/>
  <c r="Y10"/>
  <c r="Y14"/>
  <c r="Y33"/>
  <c r="Y44"/>
  <c r="Y45"/>
  <c r="X10"/>
  <c r="X14"/>
  <c r="W10"/>
  <c r="W14"/>
  <c r="W33"/>
  <c r="W44"/>
  <c r="W45"/>
  <c r="W46"/>
  <c r="V10"/>
  <c r="V13"/>
  <c r="V14"/>
  <c r="V33"/>
  <c r="V45"/>
  <c r="U10"/>
  <c r="U13"/>
  <c r="U14"/>
  <c r="U32"/>
  <c r="U33"/>
  <c r="U34"/>
  <c r="U45"/>
  <c r="T10"/>
  <c r="T13"/>
  <c r="T14"/>
  <c r="T32"/>
  <c r="T33"/>
  <c r="T34"/>
  <c r="T45"/>
  <c r="S10"/>
  <c r="S14"/>
  <c r="S33"/>
  <c r="S44"/>
  <c r="R10"/>
  <c r="R14"/>
  <c r="R33"/>
  <c r="R44"/>
  <c r="R45"/>
  <c r="R46"/>
  <c r="Q10"/>
  <c r="Q13"/>
  <c r="Q14"/>
  <c r="Q32"/>
  <c r="Q33"/>
  <c r="Q34"/>
  <c r="Q45"/>
  <c r="P10"/>
  <c r="P13"/>
  <c r="P14"/>
  <c r="P32"/>
  <c r="P33"/>
  <c r="P34"/>
  <c r="P45"/>
  <c r="O10"/>
  <c r="O14"/>
  <c r="O33"/>
  <c r="O44"/>
  <c r="O45"/>
  <c r="O46"/>
  <c r="N10"/>
  <c r="N13"/>
  <c r="N14"/>
  <c r="N32"/>
  <c r="N33"/>
  <c r="N34"/>
  <c r="N45"/>
  <c r="M10"/>
  <c r="M14"/>
  <c r="M33"/>
  <c r="M44"/>
  <c r="M45"/>
  <c r="M46"/>
  <c r="L10"/>
  <c r="L13"/>
  <c r="L14"/>
  <c r="L32"/>
  <c r="L33"/>
  <c r="L34"/>
  <c r="L45"/>
  <c r="K10"/>
  <c r="K14"/>
  <c r="K33"/>
  <c r="K44"/>
  <c r="K45"/>
  <c r="J10"/>
  <c r="J14"/>
  <c r="J32"/>
  <c r="J33"/>
  <c r="J44"/>
  <c r="J45"/>
  <c r="J46"/>
  <c r="I10"/>
  <c r="I13"/>
  <c r="I14"/>
  <c r="I32"/>
  <c r="I45"/>
  <c r="H10"/>
  <c r="H13"/>
  <c r="H14"/>
  <c r="H33"/>
  <c r="H44"/>
  <c r="H45"/>
  <c r="G10"/>
  <c r="G13"/>
  <c r="G14"/>
  <c r="G33"/>
  <c r="G44"/>
  <c r="G45"/>
  <c r="F10"/>
  <c r="F13"/>
  <c r="F14"/>
  <c r="F33"/>
  <c r="F44"/>
  <c r="F45"/>
  <c r="F46"/>
  <c r="E10"/>
  <c r="E13"/>
  <c r="E14"/>
  <c r="E32"/>
  <c r="E44"/>
  <c r="E45"/>
  <c r="E46"/>
  <c r="D69" i="2"/>
  <c r="D7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D10"/>
  <c r="C36" i="18"/>
  <c r="D36"/>
  <c r="E36"/>
  <c r="F36"/>
  <c r="H36"/>
  <c r="I36"/>
  <c r="J36"/>
  <c r="K36"/>
  <c r="L36"/>
  <c r="M36"/>
  <c r="N36"/>
  <c r="Q36"/>
  <c r="S36"/>
  <c r="U36"/>
  <c r="B36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B23"/>
  <c r="B24"/>
  <c r="B25"/>
  <c r="AG25"/>
  <c r="AF25"/>
  <c r="AG24"/>
  <c r="AF24"/>
  <c r="AG23"/>
  <c r="AF23"/>
  <c r="E33" i="4" l="1"/>
  <c r="F34"/>
  <c r="F78" s="1"/>
  <c r="F32"/>
  <c r="G34"/>
  <c r="G32"/>
  <c r="G78" s="1"/>
  <c r="H46"/>
  <c r="H32"/>
  <c r="I46"/>
  <c r="I44"/>
  <c r="I33"/>
  <c r="J34"/>
  <c r="J13"/>
  <c r="K34"/>
  <c r="K32"/>
  <c r="K13"/>
  <c r="L46"/>
  <c r="L44"/>
  <c r="M34"/>
  <c r="M32"/>
  <c r="M13"/>
  <c r="N46"/>
  <c r="N44"/>
  <c r="O34"/>
  <c r="O32"/>
  <c r="O13"/>
  <c r="P46"/>
  <c r="P44"/>
  <c r="Q44"/>
  <c r="R34"/>
  <c r="R32"/>
  <c r="R13"/>
  <c r="S46"/>
  <c r="S34"/>
  <c r="S32"/>
  <c r="S13"/>
  <c r="T44"/>
  <c r="U44"/>
  <c r="W34"/>
  <c r="W32"/>
  <c r="W13"/>
  <c r="X32"/>
  <c r="X13"/>
  <c r="Y13"/>
  <c r="Z32"/>
  <c r="Z13"/>
  <c r="AA13"/>
  <c r="AB34"/>
  <c r="AB13"/>
  <c r="I35" i="2"/>
  <c r="F74" i="4"/>
  <c r="D10" i="9" s="1"/>
  <c r="G74" i="4"/>
  <c r="E10" i="9" s="1"/>
  <c r="H74" i="4"/>
  <c r="F10" i="9" s="1"/>
  <c r="J74" i="4"/>
  <c r="H10" i="9" s="1"/>
  <c r="V34" i="4"/>
  <c r="V78" s="1"/>
  <c r="V32"/>
  <c r="Z34"/>
  <c r="AB32"/>
  <c r="D71" i="2"/>
  <c r="V46" i="4"/>
  <c r="S45"/>
  <c r="K74"/>
  <c r="I10" i="9" s="1"/>
  <c r="M74" i="4"/>
  <c r="K10" i="9" s="1"/>
  <c r="O74" i="4"/>
  <c r="M10" i="9" s="1"/>
  <c r="R74" i="4"/>
  <c r="P10" i="9" s="1"/>
  <c r="T74" i="4"/>
  <c r="R10" i="9" s="1"/>
  <c r="U74" i="4"/>
  <c r="S10" i="9" s="1"/>
  <c r="W74" i="4"/>
  <c r="U10" i="9" s="1"/>
  <c r="X74" i="4"/>
  <c r="V10" i="9" s="1"/>
  <c r="Y74" i="4"/>
  <c r="W10" i="9" s="1"/>
  <c r="AB74" i="4"/>
  <c r="Z10" i="9" s="1"/>
  <c r="AD45" i="4"/>
  <c r="AF45"/>
  <c r="AC45"/>
  <c r="AE45"/>
  <c r="AG45"/>
  <c r="I7" i="24"/>
  <c r="AC14" i="4"/>
  <c r="AE14"/>
  <c r="AG14"/>
  <c r="AD14"/>
  <c r="AF14"/>
  <c r="G7" i="24"/>
  <c r="F11" i="20"/>
  <c r="AC10" i="4"/>
  <c r="AE10"/>
  <c r="AG10"/>
  <c r="AD10"/>
  <c r="AF10"/>
  <c r="AE57"/>
  <c r="AG57"/>
  <c r="AC57"/>
  <c r="AD57"/>
  <c r="AF57"/>
  <c r="E74"/>
  <c r="C10" i="9" s="1"/>
  <c r="I74" i="4"/>
  <c r="G10" i="9" s="1"/>
  <c r="L74" i="4"/>
  <c r="J10" i="9" s="1"/>
  <c r="N74" i="4"/>
  <c r="L10" i="9" s="1"/>
  <c r="P74" i="4"/>
  <c r="N10" i="9" s="1"/>
  <c r="Q74" i="4"/>
  <c r="O10" i="9" s="1"/>
  <c r="S74" i="4"/>
  <c r="Q10" i="9" s="1"/>
  <c r="V74" i="4"/>
  <c r="T10" i="9" s="1"/>
  <c r="Z74" i="4"/>
  <c r="X10" i="9" s="1"/>
  <c r="AA74" i="4"/>
  <c r="Y10" i="9" s="1"/>
  <c r="J26" i="2"/>
  <c r="AE46" i="4"/>
  <c r="AG46"/>
  <c r="AF46"/>
  <c r="AD46"/>
  <c r="AC46"/>
  <c r="AC44"/>
  <c r="AE44"/>
  <c r="AG44"/>
  <c r="AD44"/>
  <c r="AF44"/>
  <c r="H7" i="24"/>
  <c r="AD13" i="4"/>
  <c r="AD74" s="1"/>
  <c r="AB10" i="9" s="1"/>
  <c r="AF13" i="4"/>
  <c r="AF74" s="1"/>
  <c r="AD10" i="9" s="1"/>
  <c r="AC13" i="4"/>
  <c r="AE13"/>
  <c r="AG13"/>
  <c r="F7" i="24"/>
  <c r="F10" i="20"/>
  <c r="AD9" i="4"/>
  <c r="AD73" s="1"/>
  <c r="AF9"/>
  <c r="AF73" s="1"/>
  <c r="AC9"/>
  <c r="AE9"/>
  <c r="AG9"/>
  <c r="X34"/>
  <c r="Z33"/>
  <c r="X33"/>
  <c r="AB33"/>
  <c r="H35" i="2"/>
  <c r="E35"/>
  <c r="E118" i="21"/>
  <c r="AE35" i="2"/>
  <c r="AD35"/>
  <c r="AF35"/>
  <c r="AC35"/>
  <c r="AG35"/>
  <c r="X46" i="4"/>
  <c r="T36" i="18"/>
  <c r="R36"/>
  <c r="P36"/>
  <c r="X44" i="4"/>
  <c r="X45"/>
  <c r="R26" i="2"/>
  <c r="F26"/>
  <c r="D44" i="4"/>
  <c r="V26" i="2"/>
  <c r="N26"/>
  <c r="E71" i="20"/>
  <c r="E54" s="1"/>
  <c r="D53" i="4" s="1"/>
  <c r="F70" i="20"/>
  <c r="D69" i="7" s="1"/>
  <c r="AC19"/>
  <c r="AE19"/>
  <c r="AG19"/>
  <c r="AD19"/>
  <c r="AF19"/>
  <c r="AD19" i="4"/>
  <c r="AF19"/>
  <c r="AC19"/>
  <c r="AE19"/>
  <c r="AG19"/>
  <c r="T26" i="2"/>
  <c r="R24"/>
  <c r="L26"/>
  <c r="J24"/>
  <c r="AF35" i="18"/>
  <c r="O36"/>
  <c r="G36"/>
  <c r="G46" i="4"/>
  <c r="K46"/>
  <c r="Q46"/>
  <c r="U46"/>
  <c r="Y46"/>
  <c r="V24" i="2"/>
  <c r="T24"/>
  <c r="R25"/>
  <c r="Q26"/>
  <c r="Q25" i="4" s="1"/>
  <c r="O9" i="18" s="1"/>
  <c r="P26" i="2"/>
  <c r="N24"/>
  <c r="L24"/>
  <c r="J25"/>
  <c r="J24" i="4" s="1"/>
  <c r="H8" i="18" s="1"/>
  <c r="I26" i="2"/>
  <c r="H26"/>
  <c r="H25" i="4" s="1"/>
  <c r="F9" i="18" s="1"/>
  <c r="F24" i="2"/>
  <c r="V25"/>
  <c r="V24" i="4" s="1"/>
  <c r="T8" i="18" s="1"/>
  <c r="U26" i="2"/>
  <c r="P24"/>
  <c r="N25"/>
  <c r="M26"/>
  <c r="M25" i="4" s="1"/>
  <c r="K9" i="18" s="1"/>
  <c r="H24" i="2"/>
  <c r="F25"/>
  <c r="E26"/>
  <c r="AA46" i="4"/>
  <c r="W26" i="2"/>
  <c r="T25"/>
  <c r="T24" i="4" s="1"/>
  <c r="R8" i="18" s="1"/>
  <c r="S26" i="2"/>
  <c r="P25"/>
  <c r="P24" i="4" s="1"/>
  <c r="N8" i="18" s="1"/>
  <c r="O26" i="2"/>
  <c r="L25"/>
  <c r="L24" i="4" s="1"/>
  <c r="J8" i="18" s="1"/>
  <c r="K26" i="2"/>
  <c r="H25"/>
  <c r="G26"/>
  <c r="D46" i="4"/>
  <c r="D26" i="2"/>
  <c r="D45" i="4"/>
  <c r="W24" i="2"/>
  <c r="U24"/>
  <c r="U23" i="4" s="1"/>
  <c r="S7" i="18" s="1"/>
  <c r="S24" i="2"/>
  <c r="Q24"/>
  <c r="Q23" i="4" s="1"/>
  <c r="O7" i="18" s="1"/>
  <c r="O24" i="2"/>
  <c r="M24"/>
  <c r="M23" i="4" s="1"/>
  <c r="K7" i="18" s="1"/>
  <c r="K24" i="2"/>
  <c r="I24"/>
  <c r="I23" i="4" s="1"/>
  <c r="G7" i="18" s="1"/>
  <c r="G24" i="2"/>
  <c r="E24"/>
  <c r="E23" i="4" s="1"/>
  <c r="C7" i="18" s="1"/>
  <c r="D24" i="2"/>
  <c r="C10" i="24"/>
  <c r="C11" s="1"/>
  <c r="C15" s="1"/>
  <c r="C17" s="1"/>
  <c r="C20" s="1"/>
  <c r="E10"/>
  <c r="E11" s="1"/>
  <c r="E15" s="1"/>
  <c r="E17" s="1"/>
  <c r="E20" s="1"/>
  <c r="G10"/>
  <c r="G11" s="1"/>
  <c r="G15" s="1"/>
  <c r="G17" s="1"/>
  <c r="G20" s="1"/>
  <c r="I10"/>
  <c r="I11" s="1"/>
  <c r="I15" s="1"/>
  <c r="I17" s="1"/>
  <c r="I20" s="1"/>
  <c r="F15" i="20" s="1"/>
  <c r="M78" i="4"/>
  <c r="O78"/>
  <c r="Q78"/>
  <c r="U78"/>
  <c r="W78"/>
  <c r="J78"/>
  <c r="L78"/>
  <c r="N78"/>
  <c r="P78"/>
  <c r="T78"/>
  <c r="AB78" i="7"/>
  <c r="Z78"/>
  <c r="X78"/>
  <c r="V78"/>
  <c r="T78"/>
  <c r="N78"/>
  <c r="L78"/>
  <c r="J78"/>
  <c r="D10" i="24"/>
  <c r="D11" s="1"/>
  <c r="D15" s="1"/>
  <c r="D17" s="1"/>
  <c r="D20" s="1"/>
  <c r="F10"/>
  <c r="F11" s="1"/>
  <c r="F15" s="1"/>
  <c r="F17" s="1"/>
  <c r="F20" s="1"/>
  <c r="H10"/>
  <c r="H11" s="1"/>
  <c r="H15" s="1"/>
  <c r="H17" s="1"/>
  <c r="H20" s="1"/>
  <c r="F14" i="20" s="1"/>
  <c r="F71"/>
  <c r="D70" i="7" s="1"/>
  <c r="S78"/>
  <c r="Q78"/>
  <c r="O78"/>
  <c r="G78"/>
  <c r="AA78"/>
  <c r="Y78"/>
  <c r="W78"/>
  <c r="U78"/>
  <c r="M78"/>
  <c r="K78"/>
  <c r="D78"/>
  <c r="R78"/>
  <c r="P78"/>
  <c r="F78"/>
  <c r="Y34" i="4"/>
  <c r="Y32"/>
  <c r="Z46"/>
  <c r="AA34"/>
  <c r="AA32"/>
  <c r="AB46"/>
  <c r="W25" i="2"/>
  <c r="W24" i="4" s="1"/>
  <c r="U8" i="18" s="1"/>
  <c r="U25" i="2"/>
  <c r="U24" i="4" s="1"/>
  <c r="S8" i="18" s="1"/>
  <c r="S25" i="2"/>
  <c r="S24" i="4" s="1"/>
  <c r="Q8" i="18" s="1"/>
  <c r="Q25" i="2"/>
  <c r="O25"/>
  <c r="M25"/>
  <c r="K25"/>
  <c r="I25"/>
  <c r="G25"/>
  <c r="E25"/>
  <c r="D25"/>
  <c r="D54"/>
  <c r="D57"/>
  <c r="D53"/>
  <c r="D56"/>
  <c r="D52"/>
  <c r="D55"/>
  <c r="D54" i="7" s="1"/>
  <c r="D34" i="4"/>
  <c r="D33"/>
  <c r="D32"/>
  <c r="E9" i="2"/>
  <c r="E8" i="7" s="1"/>
  <c r="F9" i="2"/>
  <c r="G9"/>
  <c r="G8" i="7" s="1"/>
  <c r="H9" i="2"/>
  <c r="I9"/>
  <c r="I8" i="7" s="1"/>
  <c r="J9" i="2"/>
  <c r="K9"/>
  <c r="K8" i="7" s="1"/>
  <c r="L9" i="2"/>
  <c r="M9"/>
  <c r="M8" i="7" s="1"/>
  <c r="N9" i="2"/>
  <c r="O9"/>
  <c r="O8" i="7" s="1"/>
  <c r="P9" i="2"/>
  <c r="Q9"/>
  <c r="Q8" i="7" s="1"/>
  <c r="R9" i="2"/>
  <c r="S9"/>
  <c r="S8" i="7" s="1"/>
  <c r="T9" i="2"/>
  <c r="T8" i="7" s="1"/>
  <c r="U9" i="2"/>
  <c r="U8" i="7" s="1"/>
  <c r="V9" i="2"/>
  <c r="W9"/>
  <c r="W8" i="7" s="1"/>
  <c r="X9" i="2"/>
  <c r="X8" i="7" s="1"/>
  <c r="Y9" i="2"/>
  <c r="Y8" i="7" s="1"/>
  <c r="Z9" i="2"/>
  <c r="AA9"/>
  <c r="AA8" i="7" s="1"/>
  <c r="AB9" i="2"/>
  <c r="AB8" i="7" s="1"/>
  <c r="D9" i="2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Z7" i="7" s="1"/>
  <c r="AA8" i="2"/>
  <c r="AB8"/>
  <c r="AB7" i="7" s="1"/>
  <c r="D8" i="2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D7"/>
  <c r="E70" i="20"/>
  <c r="E53" s="1"/>
  <c r="D52" i="4" s="1"/>
  <c r="D8" i="7"/>
  <c r="L8"/>
  <c r="D10"/>
  <c r="F10"/>
  <c r="H10"/>
  <c r="J10"/>
  <c r="L10"/>
  <c r="N10"/>
  <c r="P10"/>
  <c r="R10"/>
  <c r="T10"/>
  <c r="V10"/>
  <c r="X10"/>
  <c r="Z10"/>
  <c r="AB10"/>
  <c r="E28" i="20"/>
  <c r="O27" i="4" s="1"/>
  <c r="M11" i="18" s="1"/>
  <c r="F28" i="20"/>
  <c r="Z21" i="4"/>
  <c r="Y21"/>
  <c r="X21"/>
  <c r="W25"/>
  <c r="U9" i="18" s="1"/>
  <c r="W23" i="4"/>
  <c r="U7" i="18" s="1"/>
  <c r="W22" i="4"/>
  <c r="U6" i="18" s="1"/>
  <c r="W21" i="4"/>
  <c r="V25"/>
  <c r="T9" i="18" s="1"/>
  <c r="V23" i="4"/>
  <c r="T7" i="18" s="1"/>
  <c r="V22" i="4"/>
  <c r="T6" i="18" s="1"/>
  <c r="V21" i="4"/>
  <c r="U25"/>
  <c r="S9" i="18" s="1"/>
  <c r="U22" i="4"/>
  <c r="S6" i="18" s="1"/>
  <c r="U21" i="4"/>
  <c r="T25"/>
  <c r="R9" i="18" s="1"/>
  <c r="T23" i="4"/>
  <c r="R7" i="18" s="1"/>
  <c r="T22" i="4"/>
  <c r="R6" i="18" s="1"/>
  <c r="T21" i="4"/>
  <c r="S25"/>
  <c r="Q9" i="18" s="1"/>
  <c r="S23" i="4"/>
  <c r="Q7" i="18" s="1"/>
  <c r="S22" i="4"/>
  <c r="Q6" i="18" s="1"/>
  <c r="S21" i="4"/>
  <c r="R25"/>
  <c r="P9" i="18" s="1"/>
  <c r="R24" i="4"/>
  <c r="P8" i="18" s="1"/>
  <c r="R23" i="4"/>
  <c r="P7" i="18" s="1"/>
  <c r="R22" i="4"/>
  <c r="P6" i="18" s="1"/>
  <c r="R21" i="4"/>
  <c r="Q24"/>
  <c r="O8" i="18" s="1"/>
  <c r="Q22" i="4"/>
  <c r="O6" i="18" s="1"/>
  <c r="Q21" i="4"/>
  <c r="P25"/>
  <c r="N9" i="18" s="1"/>
  <c r="P23" i="4"/>
  <c r="N7" i="18" s="1"/>
  <c r="P22" i="4"/>
  <c r="N6" i="18" s="1"/>
  <c r="P21" i="4"/>
  <c r="O25"/>
  <c r="M9" i="18" s="1"/>
  <c r="O24" i="4"/>
  <c r="M8" i="18" s="1"/>
  <c r="O23" i="4"/>
  <c r="M7" i="18" s="1"/>
  <c r="O22" i="4"/>
  <c r="M6" i="18" s="1"/>
  <c r="O21" i="4"/>
  <c r="N25"/>
  <c r="L9" i="18" s="1"/>
  <c r="N24" i="4"/>
  <c r="L8" i="18" s="1"/>
  <c r="N23" i="4"/>
  <c r="L7" i="18" s="1"/>
  <c r="N22" i="4"/>
  <c r="L6" i="18" s="1"/>
  <c r="N21" i="4"/>
  <c r="M24"/>
  <c r="K8" i="18" s="1"/>
  <c r="M22" i="4"/>
  <c r="K6" i="18" s="1"/>
  <c r="M21" i="4"/>
  <c r="L25"/>
  <c r="J9" i="18" s="1"/>
  <c r="L23" i="4"/>
  <c r="J7" i="18" s="1"/>
  <c r="L22" i="4"/>
  <c r="J6" i="18" s="1"/>
  <c r="L21" i="4"/>
  <c r="K25"/>
  <c r="I9" i="18" s="1"/>
  <c r="K24" i="4"/>
  <c r="I8" i="18" s="1"/>
  <c r="K23" i="4"/>
  <c r="I7" i="18" s="1"/>
  <c r="K22" i="4"/>
  <c r="I6" i="18" s="1"/>
  <c r="K21" i="4"/>
  <c r="J25"/>
  <c r="H9" i="18" s="1"/>
  <c r="J23" i="4"/>
  <c r="H7" i="18" s="1"/>
  <c r="J22" i="4"/>
  <c r="H6" i="18" s="1"/>
  <c r="J21" i="4"/>
  <c r="I25"/>
  <c r="G9" i="18" s="1"/>
  <c r="I24" i="4"/>
  <c r="G8" i="18" s="1"/>
  <c r="I22" i="4"/>
  <c r="G6" i="18" s="1"/>
  <c r="I21" i="4"/>
  <c r="H24"/>
  <c r="F8" i="18" s="1"/>
  <c r="H23" i="4"/>
  <c r="F7" i="18" s="1"/>
  <c r="H22" i="4"/>
  <c r="F6" i="18" s="1"/>
  <c r="H21" i="4"/>
  <c r="G25"/>
  <c r="E9" i="18" s="1"/>
  <c r="G24" i="4"/>
  <c r="E8" i="18" s="1"/>
  <c r="G23" i="4"/>
  <c r="E7" i="18" s="1"/>
  <c r="G22" i="4"/>
  <c r="E6" i="18" s="1"/>
  <c r="G21" i="4"/>
  <c r="F25"/>
  <c r="D9" i="18" s="1"/>
  <c r="F24" i="4"/>
  <c r="D8" i="18" s="1"/>
  <c r="F23" i="4"/>
  <c r="D7" i="18" s="1"/>
  <c r="F22" i="4"/>
  <c r="D6" i="18" s="1"/>
  <c r="F21" i="4"/>
  <c r="E25"/>
  <c r="C9" i="18" s="1"/>
  <c r="E24" i="4"/>
  <c r="C8" i="18" s="1"/>
  <c r="E22" i="4"/>
  <c r="C6" i="18" s="1"/>
  <c r="E21" i="4"/>
  <c r="D25"/>
  <c r="B9" i="18" s="1"/>
  <c r="D24" i="4"/>
  <c r="B8" i="18" s="1"/>
  <c r="D23" i="4"/>
  <c r="B7" i="18" s="1"/>
  <c r="D22" i="4"/>
  <c r="B6" i="18" s="1"/>
  <c r="D21" i="4"/>
  <c r="B5" i="18" s="1"/>
  <c r="D9" i="4"/>
  <c r="D53" i="7"/>
  <c r="D52"/>
  <c r="D51"/>
  <c r="D51" i="4"/>
  <c r="D67"/>
  <c r="D68" i="7"/>
  <c r="E9" i="4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X71" i="2"/>
  <c r="X57" s="1"/>
  <c r="X70"/>
  <c r="X56" s="1"/>
  <c r="X69"/>
  <c r="X55" s="1"/>
  <c r="X54" i="7" s="1"/>
  <c r="W71" i="2"/>
  <c r="W57" s="1"/>
  <c r="W70"/>
  <c r="W56" s="1"/>
  <c r="W69"/>
  <c r="W55" s="1"/>
  <c r="W54" i="7" s="1"/>
  <c r="V71" i="2"/>
  <c r="V57" s="1"/>
  <c r="V70"/>
  <c r="V56" s="1"/>
  <c r="V69"/>
  <c r="V55" s="1"/>
  <c r="V54" i="7" s="1"/>
  <c r="U71" i="2"/>
  <c r="U57" s="1"/>
  <c r="U70"/>
  <c r="U56" s="1"/>
  <c r="U69"/>
  <c r="U55" s="1"/>
  <c r="U54" i="7" s="1"/>
  <c r="T71" i="2"/>
  <c r="T57" s="1"/>
  <c r="T70"/>
  <c r="T56" s="1"/>
  <c r="T69"/>
  <c r="T55" s="1"/>
  <c r="T54" i="7" s="1"/>
  <c r="S71" i="2"/>
  <c r="S57" s="1"/>
  <c r="S70"/>
  <c r="S56" s="1"/>
  <c r="S69"/>
  <c r="S55" s="1"/>
  <c r="S54" i="7" s="1"/>
  <c r="R71" i="2"/>
  <c r="R57" s="1"/>
  <c r="R70"/>
  <c r="R56" s="1"/>
  <c r="R69"/>
  <c r="R55" s="1"/>
  <c r="R54" i="7" s="1"/>
  <c r="Q71" i="2"/>
  <c r="Q57" s="1"/>
  <c r="Q70"/>
  <c r="Q56" s="1"/>
  <c r="Q69"/>
  <c r="Q55" s="1"/>
  <c r="Q54" i="7" s="1"/>
  <c r="P71" i="2"/>
  <c r="P57" s="1"/>
  <c r="P70"/>
  <c r="P56" s="1"/>
  <c r="P69"/>
  <c r="P55" s="1"/>
  <c r="P54" i="7" s="1"/>
  <c r="O71" i="2"/>
  <c r="O57" s="1"/>
  <c r="O70"/>
  <c r="O56" s="1"/>
  <c r="O69"/>
  <c r="O55" s="1"/>
  <c r="O54" i="7" s="1"/>
  <c r="N71" i="2"/>
  <c r="N57" s="1"/>
  <c r="N70"/>
  <c r="N56" s="1"/>
  <c r="N69"/>
  <c r="N55" s="1"/>
  <c r="N54" i="7" s="1"/>
  <c r="M71" i="2"/>
  <c r="M57" s="1"/>
  <c r="M70"/>
  <c r="M56" s="1"/>
  <c r="M69"/>
  <c r="M55" s="1"/>
  <c r="M54" i="7" s="1"/>
  <c r="L71" i="2"/>
  <c r="L57" s="1"/>
  <c r="L70"/>
  <c r="L56" s="1"/>
  <c r="L69"/>
  <c r="L55" s="1"/>
  <c r="L54" i="7" s="1"/>
  <c r="K71" i="2"/>
  <c r="K57" s="1"/>
  <c r="K70"/>
  <c r="K56" s="1"/>
  <c r="K69"/>
  <c r="K55" s="1"/>
  <c r="K54" i="7" s="1"/>
  <c r="J71" i="2"/>
  <c r="J57" s="1"/>
  <c r="J70"/>
  <c r="J56" s="1"/>
  <c r="J69"/>
  <c r="J55" s="1"/>
  <c r="J54" i="7" s="1"/>
  <c r="I71" i="2"/>
  <c r="I57" s="1"/>
  <c r="I70"/>
  <c r="I56" s="1"/>
  <c r="I69"/>
  <c r="I55" s="1"/>
  <c r="I54" i="7" s="1"/>
  <c r="H71" i="2"/>
  <c r="H57" s="1"/>
  <c r="H70"/>
  <c r="H56" s="1"/>
  <c r="H69"/>
  <c r="H55" s="1"/>
  <c r="H54" i="7" s="1"/>
  <c r="G71" i="2"/>
  <c r="G57" s="1"/>
  <c r="G70"/>
  <c r="G56" s="1"/>
  <c r="G69"/>
  <c r="G55" s="1"/>
  <c r="G54" i="7" s="1"/>
  <c r="F71" i="2"/>
  <c r="F57" s="1"/>
  <c r="F70"/>
  <c r="F56" s="1"/>
  <c r="F69"/>
  <c r="F55" s="1"/>
  <c r="F54" i="7" s="1"/>
  <c r="E71" i="2"/>
  <c r="E57" s="1"/>
  <c r="E70"/>
  <c r="E56" s="1"/>
  <c r="E69"/>
  <c r="E55" s="1"/>
  <c r="E54" i="7" s="1"/>
  <c r="R78" i="4" l="1"/>
  <c r="S78"/>
  <c r="K78"/>
  <c r="X78"/>
  <c r="AB27"/>
  <c r="Z11" i="18" s="1"/>
  <c r="AB78" i="4"/>
  <c r="D69"/>
  <c r="D68"/>
  <c r="I34" i="7"/>
  <c r="I78" s="1"/>
  <c r="I34" i="4"/>
  <c r="I78" s="1"/>
  <c r="Z78"/>
  <c r="AE73"/>
  <c r="AG74"/>
  <c r="AE10" i="9" s="1"/>
  <c r="AC74" i="4"/>
  <c r="AA10" i="9" s="1"/>
  <c r="AB9"/>
  <c r="AC9"/>
  <c r="AD9"/>
  <c r="AG73" i="4"/>
  <c r="AC73"/>
  <c r="AE74"/>
  <c r="AC10" i="9" s="1"/>
  <c r="AC34" i="7"/>
  <c r="AC78" s="1"/>
  <c r="AC34" i="4"/>
  <c r="AC78" s="1"/>
  <c r="AD34"/>
  <c r="AD78" s="1"/>
  <c r="AD34" i="7"/>
  <c r="AD78" s="1"/>
  <c r="H34"/>
  <c r="H78" s="1"/>
  <c r="H34" i="4"/>
  <c r="H78" s="1"/>
  <c r="AG34" i="7"/>
  <c r="AG78" s="1"/>
  <c r="AG34" i="4"/>
  <c r="AG78" s="1"/>
  <c r="AF34" i="7"/>
  <c r="AF78" s="1"/>
  <c r="AF34" i="4"/>
  <c r="AF78" s="1"/>
  <c r="AE34"/>
  <c r="AE78" s="1"/>
  <c r="AE34" i="7"/>
  <c r="AE78" s="1"/>
  <c r="E34"/>
  <c r="E78" s="1"/>
  <c r="E34" i="4"/>
  <c r="E78" s="1"/>
  <c r="E27"/>
  <c r="C11" i="18" s="1"/>
  <c r="F27" i="4"/>
  <c r="D11" i="18" s="1"/>
  <c r="G27" i="4"/>
  <c r="E11" i="18" s="1"/>
  <c r="D27" i="4"/>
  <c r="B11" i="18" s="1"/>
  <c r="H27" i="4"/>
  <c r="F11" i="18" s="1"/>
  <c r="X7" i="7"/>
  <c r="V7"/>
  <c r="T7"/>
  <c r="R7"/>
  <c r="P7"/>
  <c r="N7"/>
  <c r="L7"/>
  <c r="J7"/>
  <c r="AC9"/>
  <c r="AE9"/>
  <c r="AG9"/>
  <c r="AD9"/>
  <c r="AF9"/>
  <c r="E10"/>
  <c r="AD10"/>
  <c r="AF10"/>
  <c r="AC10"/>
  <c r="AE10"/>
  <c r="AG10"/>
  <c r="AC13"/>
  <c r="AE13"/>
  <c r="AG13"/>
  <c r="AD13"/>
  <c r="AF13"/>
  <c r="AC7"/>
  <c r="AE7"/>
  <c r="AG7"/>
  <c r="AD7"/>
  <c r="AF7"/>
  <c r="AD14"/>
  <c r="AF14"/>
  <c r="AC14"/>
  <c r="AE14"/>
  <c r="AG14"/>
  <c r="AD8"/>
  <c r="AF8"/>
  <c r="AC8"/>
  <c r="AE8"/>
  <c r="AG8"/>
  <c r="AC27"/>
  <c r="AE27"/>
  <c r="AG27"/>
  <c r="AD27"/>
  <c r="AF27"/>
  <c r="AF76"/>
  <c r="AG76"/>
  <c r="AC76"/>
  <c r="AD76"/>
  <c r="AE76"/>
  <c r="I27" i="4"/>
  <c r="G11" i="18" s="1"/>
  <c r="J27" i="4"/>
  <c r="H11" i="18" s="1"/>
  <c r="K27" i="4"/>
  <c r="I11" i="18" s="1"/>
  <c r="L27" i="4"/>
  <c r="J11" i="18" s="1"/>
  <c r="M27" i="4"/>
  <c r="K11" i="18" s="1"/>
  <c r="N27" i="4"/>
  <c r="L11" i="18" s="1"/>
  <c r="AA27" i="4"/>
  <c r="Y11" i="18" s="1"/>
  <c r="AC27" i="4"/>
  <c r="AA11" i="18" s="1"/>
  <c r="AE27" i="4"/>
  <c r="AC11" i="18" s="1"/>
  <c r="AG27" i="4"/>
  <c r="AE11" i="18" s="1"/>
  <c r="AD27" i="4"/>
  <c r="AB11" i="18" s="1"/>
  <c r="AF27" i="4"/>
  <c r="AD11" i="18" s="1"/>
  <c r="AG76" i="4"/>
  <c r="AC76"/>
  <c r="AD76"/>
  <c r="AE76"/>
  <c r="AF76"/>
  <c r="D7" i="7"/>
  <c r="F8"/>
  <c r="P8"/>
  <c r="H8"/>
  <c r="AA7"/>
  <c r="W7"/>
  <c r="AA10"/>
  <c r="Y10"/>
  <c r="W10"/>
  <c r="U10"/>
  <c r="S10"/>
  <c r="Q10"/>
  <c r="O10"/>
  <c r="M10"/>
  <c r="K10"/>
  <c r="I10"/>
  <c r="G10"/>
  <c r="Y7"/>
  <c r="U7"/>
  <c r="Z8"/>
  <c r="V8"/>
  <c r="R8"/>
  <c r="N8"/>
  <c r="J8"/>
  <c r="Q7"/>
  <c r="K7"/>
  <c r="S7"/>
  <c r="O7"/>
  <c r="G7"/>
  <c r="M7"/>
  <c r="I7"/>
  <c r="E7"/>
  <c r="E14"/>
  <c r="G14"/>
  <c r="I14"/>
  <c r="K14"/>
  <c r="M14"/>
  <c r="O14"/>
  <c r="Q14"/>
  <c r="S14"/>
  <c r="U14"/>
  <c r="W14"/>
  <c r="Y14"/>
  <c r="AA14"/>
  <c r="D14"/>
  <c r="F14"/>
  <c r="H14"/>
  <c r="J14"/>
  <c r="L14"/>
  <c r="N14"/>
  <c r="P14"/>
  <c r="R14"/>
  <c r="T14"/>
  <c r="V14"/>
  <c r="X14"/>
  <c r="Z14"/>
  <c r="AB14"/>
  <c r="P27" i="4"/>
  <c r="N11" i="18" s="1"/>
  <c r="Q27" i="4"/>
  <c r="O11" i="18" s="1"/>
  <c r="R27" i="4"/>
  <c r="P11" i="18" s="1"/>
  <c r="S27" i="4"/>
  <c r="Q11" i="18" s="1"/>
  <c r="T27" i="4"/>
  <c r="R11" i="18" s="1"/>
  <c r="U27" i="4"/>
  <c r="S11" i="18" s="1"/>
  <c r="V27" i="4"/>
  <c r="T11" i="18" s="1"/>
  <c r="W27" i="4"/>
  <c r="U11" i="18" s="1"/>
  <c r="X27" i="4"/>
  <c r="V11" i="18" s="1"/>
  <c r="Y27" i="4"/>
  <c r="W11" i="18" s="1"/>
  <c r="Z27" i="4"/>
  <c r="X11" i="18" s="1"/>
  <c r="D13" i="7"/>
  <c r="F13"/>
  <c r="F74" s="1"/>
  <c r="D24" i="9" s="1"/>
  <c r="H13" i="7"/>
  <c r="H74" s="1"/>
  <c r="F24" i="9" s="1"/>
  <c r="J13" i="7"/>
  <c r="J74" s="1"/>
  <c r="H24" i="9" s="1"/>
  <c r="L13" i="7"/>
  <c r="N13"/>
  <c r="N74" s="1"/>
  <c r="L24" i="9" s="1"/>
  <c r="P13" i="7"/>
  <c r="P74" s="1"/>
  <c r="N24" i="9" s="1"/>
  <c r="R13" i="7"/>
  <c r="R74" s="1"/>
  <c r="P24" i="9" s="1"/>
  <c r="T13" i="7"/>
  <c r="T74" s="1"/>
  <c r="R24" i="9" s="1"/>
  <c r="V13" i="7"/>
  <c r="V74" s="1"/>
  <c r="T24" i="9" s="1"/>
  <c r="X13" i="7"/>
  <c r="X74" s="1"/>
  <c r="V24" i="9" s="1"/>
  <c r="Z13" i="7"/>
  <c r="Z74" s="1"/>
  <c r="X24" i="9" s="1"/>
  <c r="AB13" i="7"/>
  <c r="AB74" s="1"/>
  <c r="Z24" i="9" s="1"/>
  <c r="E13" i="7"/>
  <c r="G13"/>
  <c r="I13"/>
  <c r="K13"/>
  <c r="M13"/>
  <c r="O13"/>
  <c r="Q13"/>
  <c r="S13"/>
  <c r="U13"/>
  <c r="W13"/>
  <c r="Y13"/>
  <c r="AA13"/>
  <c r="H7"/>
  <c r="F7"/>
  <c r="AB9"/>
  <c r="Z9"/>
  <c r="X9"/>
  <c r="V9"/>
  <c r="T9"/>
  <c r="R9"/>
  <c r="P9"/>
  <c r="N9"/>
  <c r="L9"/>
  <c r="J9"/>
  <c r="H9"/>
  <c r="F9"/>
  <c r="D9"/>
  <c r="AA9"/>
  <c r="Y9"/>
  <c r="W9"/>
  <c r="U9"/>
  <c r="S9"/>
  <c r="Q9"/>
  <c r="O9"/>
  <c r="M9"/>
  <c r="K9"/>
  <c r="I9"/>
  <c r="G9"/>
  <c r="E9"/>
  <c r="Y78" i="4"/>
  <c r="X23" i="2"/>
  <c r="X22" i="4" s="1"/>
  <c r="V6" i="18" s="1"/>
  <c r="X25" i="2"/>
  <c r="X24" i="4" s="1"/>
  <c r="V8" i="18" s="1"/>
  <c r="V36"/>
  <c r="X24" i="2"/>
  <c r="X23" i="4" s="1"/>
  <c r="V7" i="18" s="1"/>
  <c r="X26" i="2"/>
  <c r="X25" i="4" s="1"/>
  <c r="V9" i="18" s="1"/>
  <c r="D71" i="7"/>
  <c r="L74"/>
  <c r="J24" i="9" s="1"/>
  <c r="D74" i="7"/>
  <c r="B24" i="9" s="1"/>
  <c r="D78" i="4"/>
  <c r="AA78"/>
  <c r="E55" i="7"/>
  <c r="E55" i="4"/>
  <c r="E56" i="7"/>
  <c r="E56" i="4"/>
  <c r="F55" i="7"/>
  <c r="F55" i="4"/>
  <c r="F56" i="7"/>
  <c r="F56" i="4"/>
  <c r="G55" i="7"/>
  <c r="G55" i="4"/>
  <c r="G56" i="7"/>
  <c r="G56" i="4"/>
  <c r="H55" i="7"/>
  <c r="H55" i="4"/>
  <c r="H56" i="7"/>
  <c r="H56" i="4"/>
  <c r="I55" i="7"/>
  <c r="I55" i="4"/>
  <c r="I56" i="7"/>
  <c r="I56" i="4"/>
  <c r="J55" i="7"/>
  <c r="J55" i="4"/>
  <c r="J56" i="7"/>
  <c r="J56" i="4"/>
  <c r="K55" i="7"/>
  <c r="K55" i="4"/>
  <c r="K56" i="7"/>
  <c r="K56" i="4"/>
  <c r="L55" i="7"/>
  <c r="L55" i="4"/>
  <c r="L56" i="7"/>
  <c r="L56" i="4"/>
  <c r="M55" i="7"/>
  <c r="M55" i="4"/>
  <c r="M56" i="7"/>
  <c r="M56" i="4"/>
  <c r="N55" i="7"/>
  <c r="N55" i="4"/>
  <c r="N56" i="7"/>
  <c r="N56" i="4"/>
  <c r="O55" i="7"/>
  <c r="O55" i="4"/>
  <c r="O56" i="7"/>
  <c r="O56" i="4"/>
  <c r="P55" i="7"/>
  <c r="P55" i="4"/>
  <c r="P56" i="7"/>
  <c r="P56" i="4"/>
  <c r="Q55" i="7"/>
  <c r="Q55" i="4"/>
  <c r="Q56" i="7"/>
  <c r="Q56" i="4"/>
  <c r="R55" i="7"/>
  <c r="R55" i="4"/>
  <c r="R56" i="7"/>
  <c r="R56" i="4"/>
  <c r="S55" i="7"/>
  <c r="S55" i="4"/>
  <c r="S56" i="7"/>
  <c r="S56" i="4"/>
  <c r="T55" i="7"/>
  <c r="T55" i="4"/>
  <c r="T56" i="7"/>
  <c r="T56" i="4"/>
  <c r="U55" i="7"/>
  <c r="U55" i="4"/>
  <c r="U56" i="7"/>
  <c r="U56" i="4"/>
  <c r="V55" i="7"/>
  <c r="V55" i="4"/>
  <c r="V56" i="7"/>
  <c r="V56" i="4"/>
  <c r="W55" i="7"/>
  <c r="W55" i="4"/>
  <c r="W56" i="7"/>
  <c r="W56" i="4"/>
  <c r="X55" i="7"/>
  <c r="X55" i="4"/>
  <c r="X56" i="7"/>
  <c r="X56" i="4"/>
  <c r="D55" i="7"/>
  <c r="D55" i="4"/>
  <c r="D56" i="7"/>
  <c r="D56" i="4"/>
  <c r="D6" i="7"/>
  <c r="D6" i="4"/>
  <c r="AB6" i="7"/>
  <c r="AB6" i="4"/>
  <c r="AA6" i="7"/>
  <c r="AA6" i="4"/>
  <c r="Z6" i="7"/>
  <c r="Z6" i="4"/>
  <c r="Y6" i="7"/>
  <c r="Y6" i="4"/>
  <c r="X6" i="7"/>
  <c r="X6" i="4"/>
  <c r="W6" i="7"/>
  <c r="W6" i="4"/>
  <c r="V6" i="7"/>
  <c r="V6" i="4"/>
  <c r="U6" i="7"/>
  <c r="U6" i="4"/>
  <c r="T6" i="7"/>
  <c r="T73" s="1"/>
  <c r="T6" i="4"/>
  <c r="S6" i="7"/>
  <c r="S6" i="4"/>
  <c r="R6" i="7"/>
  <c r="R73" s="1"/>
  <c r="R6" i="4"/>
  <c r="Q6" i="7"/>
  <c r="Q73" s="1"/>
  <c r="Q6" i="4"/>
  <c r="P6" i="7"/>
  <c r="P73" s="1"/>
  <c r="P6" i="4"/>
  <c r="O6" i="7"/>
  <c r="O73" s="1"/>
  <c r="O6" i="4"/>
  <c r="N6" i="7"/>
  <c r="N73" s="1"/>
  <c r="N6" i="4"/>
  <c r="M6" i="7"/>
  <c r="M73" s="1"/>
  <c r="M6" i="4"/>
  <c r="L6" i="7"/>
  <c r="L73" s="1"/>
  <c r="L6" i="4"/>
  <c r="K6" i="7"/>
  <c r="K73" s="1"/>
  <c r="K6" i="4"/>
  <c r="J6" i="7"/>
  <c r="J73" s="1"/>
  <c r="J6" i="4"/>
  <c r="I6" i="7"/>
  <c r="I73" s="1"/>
  <c r="I6" i="4"/>
  <c r="H6" i="7"/>
  <c r="H73" s="1"/>
  <c r="H6" i="4"/>
  <c r="G6" i="7"/>
  <c r="G73" s="1"/>
  <c r="G6" i="4"/>
  <c r="F6" i="7"/>
  <c r="F73" s="1"/>
  <c r="F6" i="4"/>
  <c r="E6" i="7"/>
  <c r="E73" s="1"/>
  <c r="E6" i="4"/>
  <c r="AB19"/>
  <c r="AB76" s="1"/>
  <c r="AA19"/>
  <c r="AA76" s="1"/>
  <c r="Z19"/>
  <c r="Z76" s="1"/>
  <c r="Y19"/>
  <c r="Y76" s="1"/>
  <c r="X19"/>
  <c r="X76" s="1"/>
  <c r="W19"/>
  <c r="W76" s="1"/>
  <c r="V19"/>
  <c r="V76" s="1"/>
  <c r="U19"/>
  <c r="U76" s="1"/>
  <c r="T19"/>
  <c r="T76" s="1"/>
  <c r="S19"/>
  <c r="S76" s="1"/>
  <c r="R19"/>
  <c r="R76" s="1"/>
  <c r="Q19"/>
  <c r="Q76" s="1"/>
  <c r="P19"/>
  <c r="P76" s="1"/>
  <c r="O19"/>
  <c r="O76" s="1"/>
  <c r="N19"/>
  <c r="N76" s="1"/>
  <c r="M19"/>
  <c r="M76" s="1"/>
  <c r="L19"/>
  <c r="L76" s="1"/>
  <c r="K19"/>
  <c r="K76" s="1"/>
  <c r="J19"/>
  <c r="J76" s="1"/>
  <c r="I19"/>
  <c r="I76" s="1"/>
  <c r="H19"/>
  <c r="H76" s="1"/>
  <c r="G19"/>
  <c r="G76" s="1"/>
  <c r="F19"/>
  <c r="F76" s="1"/>
  <c r="E19"/>
  <c r="E76" s="1"/>
  <c r="AB26"/>
  <c r="Z10" i="18" s="1"/>
  <c r="AA26" i="4"/>
  <c r="Y10" i="18" s="1"/>
  <c r="Z26" i="4"/>
  <c r="X10" i="18" s="1"/>
  <c r="Y26" i="4"/>
  <c r="W10" i="18" s="1"/>
  <c r="X26" i="4"/>
  <c r="V10" i="18" s="1"/>
  <c r="W26" i="4"/>
  <c r="U10" i="18" s="1"/>
  <c r="V26" i="4"/>
  <c r="T10" i="18" s="1"/>
  <c r="U26" i="4"/>
  <c r="S10" i="18" s="1"/>
  <c r="T26" i="4"/>
  <c r="R10" i="18" s="1"/>
  <c r="S26" i="4"/>
  <c r="Q10" i="18" s="1"/>
  <c r="R26" i="4"/>
  <c r="P10" i="18" s="1"/>
  <c r="Q26" i="4"/>
  <c r="O10" i="18" s="1"/>
  <c r="P26" i="4"/>
  <c r="N10" i="18" s="1"/>
  <c r="O26" i="4"/>
  <c r="M10" i="18" s="1"/>
  <c r="N26" i="4"/>
  <c r="L10" i="18" s="1"/>
  <c r="M26" i="4"/>
  <c r="K10" i="18" s="1"/>
  <c r="L26" i="4"/>
  <c r="J10" i="18" s="1"/>
  <c r="K26" i="4"/>
  <c r="I10" i="18" s="1"/>
  <c r="J26" i="4"/>
  <c r="H10" i="18" s="1"/>
  <c r="I26" i="4"/>
  <c r="G10" i="18" s="1"/>
  <c r="H26" i="4"/>
  <c r="F10" i="18" s="1"/>
  <c r="G26" i="4"/>
  <c r="E10" i="18" s="1"/>
  <c r="F26" i="4"/>
  <c r="D10" i="18" s="1"/>
  <c r="E26" i="4"/>
  <c r="C10" i="18" s="1"/>
  <c r="AB28" i="4"/>
  <c r="Z13" i="18" s="1"/>
  <c r="AA28" i="4"/>
  <c r="Y13" i="18" s="1"/>
  <c r="Z28" i="4"/>
  <c r="X13" i="18" s="1"/>
  <c r="Y28" i="4"/>
  <c r="W13" i="18" s="1"/>
  <c r="X28" i="4"/>
  <c r="V13" i="18" s="1"/>
  <c r="W28" i="4"/>
  <c r="U13" i="18" s="1"/>
  <c r="V28" i="4"/>
  <c r="T13" i="18" s="1"/>
  <c r="U28" i="4"/>
  <c r="S13" i="18" s="1"/>
  <c r="T28" i="4"/>
  <c r="R13" i="18" s="1"/>
  <c r="S28" i="4"/>
  <c r="Q13" i="18" s="1"/>
  <c r="R28" i="4"/>
  <c r="P13" i="18" s="1"/>
  <c r="Q28" i="4"/>
  <c r="O13" i="18" s="1"/>
  <c r="P28" i="4"/>
  <c r="N13" i="18" s="1"/>
  <c r="O28" i="4"/>
  <c r="M13" i="18" s="1"/>
  <c r="N28" i="4"/>
  <c r="L13" i="18" s="1"/>
  <c r="M28" i="4"/>
  <c r="K13" i="18" s="1"/>
  <c r="L28" i="4"/>
  <c r="J13" i="18" s="1"/>
  <c r="K28" i="4"/>
  <c r="I13" i="18" s="1"/>
  <c r="J28" i="4"/>
  <c r="H13" i="18" s="1"/>
  <c r="I28" i="4"/>
  <c r="G13" i="18" s="1"/>
  <c r="H28" i="4"/>
  <c r="F13" i="18" s="1"/>
  <c r="G28" i="4"/>
  <c r="E13" i="18" s="1"/>
  <c r="F28" i="4"/>
  <c r="D13" i="18" s="1"/>
  <c r="E28" i="4"/>
  <c r="C13" i="18" s="1"/>
  <c r="AB29" i="4"/>
  <c r="Z14" i="18" s="1"/>
  <c r="AA29" i="4"/>
  <c r="Y14" i="18" s="1"/>
  <c r="Z29" i="4"/>
  <c r="X14" i="18" s="1"/>
  <c r="Y29" i="4"/>
  <c r="W14" i="18" s="1"/>
  <c r="X29" i="4"/>
  <c r="V14" i="18" s="1"/>
  <c r="W29" i="4"/>
  <c r="U14" i="18" s="1"/>
  <c r="V29" i="4"/>
  <c r="T14" i="18" s="1"/>
  <c r="U29" i="4"/>
  <c r="S14" i="18" s="1"/>
  <c r="T29" i="4"/>
  <c r="R14" i="18" s="1"/>
  <c r="S29" i="4"/>
  <c r="Q14" i="18" s="1"/>
  <c r="R29" i="4"/>
  <c r="P14" i="18" s="1"/>
  <c r="Q29" i="4"/>
  <c r="O14" i="18" s="1"/>
  <c r="P29" i="4"/>
  <c r="N14" i="18" s="1"/>
  <c r="O29" i="4"/>
  <c r="M14" i="18" s="1"/>
  <c r="N29" i="4"/>
  <c r="L14" i="18" s="1"/>
  <c r="M29" i="4"/>
  <c r="K14" i="18" s="1"/>
  <c r="L29" i="4"/>
  <c r="J14" i="18" s="1"/>
  <c r="K29" i="4"/>
  <c r="I14" i="18" s="1"/>
  <c r="J29" i="4"/>
  <c r="H14" i="18" s="1"/>
  <c r="I29" i="4"/>
  <c r="G14" i="18" s="1"/>
  <c r="H29" i="4"/>
  <c r="F14" i="18" s="1"/>
  <c r="G29" i="4"/>
  <c r="E14" i="18" s="1"/>
  <c r="F29" i="4"/>
  <c r="D14" i="18" s="1"/>
  <c r="E29" i="4"/>
  <c r="C14" i="18" s="1"/>
  <c r="AB7" i="4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B8"/>
  <c r="AA8"/>
  <c r="Z8"/>
  <c r="Y8"/>
  <c r="X8"/>
  <c r="W8"/>
  <c r="V8"/>
  <c r="U8"/>
  <c r="T8"/>
  <c r="S8"/>
  <c r="R8"/>
  <c r="Q8"/>
  <c r="P8"/>
  <c r="O8"/>
  <c r="O73" s="1"/>
  <c r="N8"/>
  <c r="M8"/>
  <c r="L8"/>
  <c r="K8"/>
  <c r="K73" s="1"/>
  <c r="J8"/>
  <c r="I8"/>
  <c r="H8"/>
  <c r="G8"/>
  <c r="G73" s="1"/>
  <c r="F8"/>
  <c r="E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O5" i="18"/>
  <c r="P5"/>
  <c r="Q5"/>
  <c r="R5"/>
  <c r="S5"/>
  <c r="T5"/>
  <c r="U5"/>
  <c r="V5"/>
  <c r="W5"/>
  <c r="X5"/>
  <c r="D19" i="4"/>
  <c r="D76" s="1"/>
  <c r="D26"/>
  <c r="B10" i="18" s="1"/>
  <c r="D7" i="4"/>
  <c r="D8"/>
  <c r="D38"/>
  <c r="D54"/>
  <c r="D57"/>
  <c r="D58"/>
  <c r="D28"/>
  <c r="B13" i="18" s="1"/>
  <c r="D29" i="4"/>
  <c r="B14" i="18" s="1"/>
  <c r="D19" i="7"/>
  <c r="D76" s="1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C5" i="18"/>
  <c r="D5"/>
  <c r="E5"/>
  <c r="F5"/>
  <c r="G5"/>
  <c r="H5"/>
  <c r="I5"/>
  <c r="J5"/>
  <c r="K5"/>
  <c r="L5"/>
  <c r="M5"/>
  <c r="N5"/>
  <c r="E52" i="2"/>
  <c r="E68" i="7"/>
  <c r="E67" i="4"/>
  <c r="E53" i="2"/>
  <c r="E69" i="7"/>
  <c r="E68" i="4"/>
  <c r="E54" i="2"/>
  <c r="E70" i="7"/>
  <c r="E69" i="4"/>
  <c r="F52" i="2"/>
  <c r="F68" i="7"/>
  <c r="F67" i="4"/>
  <c r="F53" i="2"/>
  <c r="F69" i="7"/>
  <c r="F68" i="4"/>
  <c r="F54" i="2"/>
  <c r="F70" i="7"/>
  <c r="F69" i="4"/>
  <c r="G52" i="2"/>
  <c r="G68" i="7"/>
  <c r="G67" i="4"/>
  <c r="G53" i="2"/>
  <c r="G69" i="7"/>
  <c r="G68" i="4"/>
  <c r="G54" i="2"/>
  <c r="G70" i="7"/>
  <c r="G69" i="4"/>
  <c r="H52" i="2"/>
  <c r="H68" i="7"/>
  <c r="H67" i="4"/>
  <c r="H53" i="2"/>
  <c r="H69" i="7"/>
  <c r="H68" i="4"/>
  <c r="H54" i="2"/>
  <c r="H70" i="7"/>
  <c r="H69" i="4"/>
  <c r="I52" i="2"/>
  <c r="I68" i="7"/>
  <c r="I67" i="4"/>
  <c r="I53" i="2"/>
  <c r="I69" i="7"/>
  <c r="I68" i="4"/>
  <c r="I54" i="2"/>
  <c r="I70" i="7"/>
  <c r="I69" i="4"/>
  <c r="J52" i="2"/>
  <c r="J68" i="7"/>
  <c r="J67" i="4"/>
  <c r="J53" i="2"/>
  <c r="J69" i="7"/>
  <c r="J68" i="4"/>
  <c r="J54" i="2"/>
  <c r="J70" i="7"/>
  <c r="J69" i="4"/>
  <c r="K52" i="2"/>
  <c r="K68" i="7"/>
  <c r="K67" i="4"/>
  <c r="K53" i="2"/>
  <c r="K69" i="7"/>
  <c r="K68" i="4"/>
  <c r="K54" i="2"/>
  <c r="K70" i="7"/>
  <c r="K69" i="4"/>
  <c r="L52" i="2"/>
  <c r="L68" i="7"/>
  <c r="L67" i="4"/>
  <c r="L53" i="2"/>
  <c r="L69" i="7"/>
  <c r="L68" i="4"/>
  <c r="L54" i="2"/>
  <c r="L70" i="7"/>
  <c r="L69" i="4"/>
  <c r="M52" i="2"/>
  <c r="M68" i="7"/>
  <c r="M67" i="4"/>
  <c r="M53" i="2"/>
  <c r="M69" i="7"/>
  <c r="M68" i="4"/>
  <c r="M54" i="2"/>
  <c r="M70" i="7"/>
  <c r="M69" i="4"/>
  <c r="N52" i="2"/>
  <c r="N68" i="7"/>
  <c r="N67" i="4"/>
  <c r="N53" i="2"/>
  <c r="N69" i="7"/>
  <c r="N68" i="4"/>
  <c r="N54" i="2"/>
  <c r="N70" i="7"/>
  <c r="N69" i="4"/>
  <c r="O52" i="2"/>
  <c r="O68" i="7"/>
  <c r="O67" i="4"/>
  <c r="O53" i="2"/>
  <c r="O69" i="7"/>
  <c r="O68" i="4"/>
  <c r="O54" i="2"/>
  <c r="O70" i="7"/>
  <c r="O69" i="4"/>
  <c r="P52" i="2"/>
  <c r="P68" i="7"/>
  <c r="P67" i="4"/>
  <c r="P53" i="2"/>
  <c r="P69" i="7"/>
  <c r="P68" i="4"/>
  <c r="P54" i="2"/>
  <c r="P70" i="7"/>
  <c r="P69" i="4"/>
  <c r="Q52" i="2"/>
  <c r="Q68" i="7"/>
  <c r="Q67" i="4"/>
  <c r="Q53" i="2"/>
  <c r="Q69" i="7"/>
  <c r="Q68" i="4"/>
  <c r="Q54" i="2"/>
  <c r="Q70" i="7"/>
  <c r="Q69" i="4"/>
  <c r="R52" i="2"/>
  <c r="R68" i="7"/>
  <c r="R67" i="4"/>
  <c r="R53" i="2"/>
  <c r="R69" i="7"/>
  <c r="R68" i="4"/>
  <c r="R54" i="2"/>
  <c r="R70" i="7"/>
  <c r="R69" i="4"/>
  <c r="S52" i="2"/>
  <c r="S68" i="7"/>
  <c r="S67" i="4"/>
  <c r="S53" i="2"/>
  <c r="S69" i="7"/>
  <c r="S68" i="4"/>
  <c r="S54" i="2"/>
  <c r="S70" i="7"/>
  <c r="S69" i="4"/>
  <c r="T52" i="2"/>
  <c r="T68" i="7"/>
  <c r="T67" i="4"/>
  <c r="T53" i="2"/>
  <c r="T69" i="7"/>
  <c r="T68" i="4"/>
  <c r="T54" i="2"/>
  <c r="T70" i="7"/>
  <c r="T69" i="4"/>
  <c r="U52" i="2"/>
  <c r="U68" i="7"/>
  <c r="U67" i="4"/>
  <c r="U53" i="2"/>
  <c r="U69" i="7"/>
  <c r="U68" i="4"/>
  <c r="U54" i="2"/>
  <c r="U70" i="7"/>
  <c r="U69" i="4"/>
  <c r="V52" i="2"/>
  <c r="V68" i="7"/>
  <c r="V67" i="4"/>
  <c r="V53" i="2"/>
  <c r="V69" i="7"/>
  <c r="V68" i="4"/>
  <c r="V54" i="2"/>
  <c r="V70" i="7"/>
  <c r="V69" i="4"/>
  <c r="W52" i="2"/>
  <c r="W68" i="7"/>
  <c r="W67" i="4"/>
  <c r="W53" i="2"/>
  <c r="W69" i="7"/>
  <c r="W68" i="4"/>
  <c r="W54" i="2"/>
  <c r="W70" i="7"/>
  <c r="W69" i="4"/>
  <c r="X52" i="2"/>
  <c r="X68" i="7"/>
  <c r="X67" i="4"/>
  <c r="X53" i="2"/>
  <c r="X69" i="7"/>
  <c r="X68" i="4"/>
  <c r="X54" i="2"/>
  <c r="X70" i="7"/>
  <c r="X69" i="4"/>
  <c r="AA73"/>
  <c r="Y73"/>
  <c r="W73"/>
  <c r="U73"/>
  <c r="S73"/>
  <c r="Q73"/>
  <c r="M73"/>
  <c r="I73"/>
  <c r="E73"/>
  <c r="B21" i="9"/>
  <c r="D70" i="4" l="1"/>
  <c r="B7" i="9" s="1"/>
  <c r="X73" i="7"/>
  <c r="AF10" i="9"/>
  <c r="D73" i="7"/>
  <c r="B23" i="9" s="1"/>
  <c r="Q59" i="4"/>
  <c r="Q77"/>
  <c r="Q75" s="1"/>
  <c r="X25" i="7"/>
  <c r="C9" i="9"/>
  <c r="G9"/>
  <c r="K9"/>
  <c r="Q9"/>
  <c r="Y9"/>
  <c r="E9"/>
  <c r="I9"/>
  <c r="M9"/>
  <c r="O9"/>
  <c r="S9"/>
  <c r="W9"/>
  <c r="AE9"/>
  <c r="U9"/>
  <c r="C23"/>
  <c r="D23"/>
  <c r="E23"/>
  <c r="F23"/>
  <c r="G23"/>
  <c r="H23"/>
  <c r="I23"/>
  <c r="J23"/>
  <c r="K23"/>
  <c r="L23"/>
  <c r="M23"/>
  <c r="N23"/>
  <c r="O23"/>
  <c r="P23"/>
  <c r="R23"/>
  <c r="V23"/>
  <c r="AA9"/>
  <c r="AF74" i="7"/>
  <c r="AD24" i="9" s="1"/>
  <c r="AG10"/>
  <c r="D6" i="10" s="1"/>
  <c r="D16" s="1"/>
  <c r="AB29" i="18"/>
  <c r="AB30" s="1"/>
  <c r="AC29"/>
  <c r="AC30" s="1"/>
  <c r="AD29"/>
  <c r="AD30" s="1"/>
  <c r="AE29"/>
  <c r="AE30" s="1"/>
  <c r="AA29"/>
  <c r="AA30" s="1"/>
  <c r="U59" i="4"/>
  <c r="D73"/>
  <c r="R73"/>
  <c r="T73"/>
  <c r="F59"/>
  <c r="F73"/>
  <c r="H73"/>
  <c r="J73"/>
  <c r="L73"/>
  <c r="N73"/>
  <c r="P73"/>
  <c r="V73"/>
  <c r="X73"/>
  <c r="Z73"/>
  <c r="AB73"/>
  <c r="AD73" i="7"/>
  <c r="X24"/>
  <c r="X77" s="1"/>
  <c r="AG11" i="18"/>
  <c r="H59" i="4"/>
  <c r="AF73" i="7"/>
  <c r="AG73"/>
  <c r="AC73"/>
  <c r="AD74"/>
  <c r="AB24" i="9" s="1"/>
  <c r="AE74" i="7"/>
  <c r="AC24" i="9" s="1"/>
  <c r="AE73" i="7"/>
  <c r="AG74"/>
  <c r="AE24" i="9" s="1"/>
  <c r="AC74" i="7"/>
  <c r="AA24" i="9" s="1"/>
  <c r="M59" i="4"/>
  <c r="E59"/>
  <c r="G59"/>
  <c r="I59"/>
  <c r="O59"/>
  <c r="S59"/>
  <c r="W59"/>
  <c r="B29" i="18"/>
  <c r="B30" s="1"/>
  <c r="AF11"/>
  <c r="K59" i="4"/>
  <c r="B27" i="18"/>
  <c r="D59" i="4"/>
  <c r="J59"/>
  <c r="L59"/>
  <c r="N59"/>
  <c r="P59"/>
  <c r="R59"/>
  <c r="T59"/>
  <c r="V59"/>
  <c r="X59"/>
  <c r="J77"/>
  <c r="H12" i="9" s="1"/>
  <c r="N77" i="4"/>
  <c r="N75" s="1"/>
  <c r="F77"/>
  <c r="D12" i="9" s="1"/>
  <c r="D60" i="4"/>
  <c r="AB60" s="1"/>
  <c r="V77"/>
  <c r="V75" s="1"/>
  <c r="AF5" i="18"/>
  <c r="P77" i="4"/>
  <c r="N12" i="9" s="1"/>
  <c r="L77" i="4"/>
  <c r="L75" s="1"/>
  <c r="H77"/>
  <c r="F12" i="9" s="1"/>
  <c r="X77" i="4"/>
  <c r="X75" s="1"/>
  <c r="T77"/>
  <c r="T75" s="1"/>
  <c r="O77"/>
  <c r="M12" i="9" s="1"/>
  <c r="M77" i="4"/>
  <c r="M75" s="1"/>
  <c r="K77"/>
  <c r="I12" i="9" s="1"/>
  <c r="I77" i="4"/>
  <c r="G12" i="9" s="1"/>
  <c r="G77" i="4"/>
  <c r="E12" i="9" s="1"/>
  <c r="E77" i="4"/>
  <c r="C12" i="9" s="1"/>
  <c r="W77" i="4"/>
  <c r="W75" s="1"/>
  <c r="U77"/>
  <c r="U75" s="1"/>
  <c r="S77"/>
  <c r="S75" s="1"/>
  <c r="U73" i="7"/>
  <c r="Y73"/>
  <c r="AB73"/>
  <c r="AG5" i="18"/>
  <c r="D60" i="7"/>
  <c r="AB60" s="1"/>
  <c r="D59"/>
  <c r="Y74"/>
  <c r="W24" i="9" s="1"/>
  <c r="U74" i="7"/>
  <c r="S24" i="9" s="1"/>
  <c r="Q74" i="7"/>
  <c r="O24" i="9" s="1"/>
  <c r="M74" i="7"/>
  <c r="K24" i="9" s="1"/>
  <c r="I74" i="7"/>
  <c r="G24" i="9" s="1"/>
  <c r="E74" i="7"/>
  <c r="C24" i="9" s="1"/>
  <c r="R77" i="4"/>
  <c r="R75" s="1"/>
  <c r="AA74" i="7"/>
  <c r="Y24" i="9" s="1"/>
  <c r="W74" i="7"/>
  <c r="U24" i="9" s="1"/>
  <c r="S74" i="7"/>
  <c r="Q24" i="9" s="1"/>
  <c r="O74" i="7"/>
  <c r="M24" i="9" s="1"/>
  <c r="K74" i="7"/>
  <c r="I24" i="9" s="1"/>
  <c r="G74" i="7"/>
  <c r="E24" i="9" s="1"/>
  <c r="S73" i="7"/>
  <c r="V73"/>
  <c r="W73"/>
  <c r="Z73"/>
  <c r="AA73"/>
  <c r="Y24" i="2"/>
  <c r="Y26"/>
  <c r="Y23"/>
  <c r="Y25"/>
  <c r="W36" i="18"/>
  <c r="Y71" i="2"/>
  <c r="Y69"/>
  <c r="Y70"/>
  <c r="AG14" i="18"/>
  <c r="AF14"/>
  <c r="AG13"/>
  <c r="AF13"/>
  <c r="AG10"/>
  <c r="AF10"/>
  <c r="Z29"/>
  <c r="Y29"/>
  <c r="X29"/>
  <c r="X30" s="1"/>
  <c r="W29"/>
  <c r="W30" s="1"/>
  <c r="V29"/>
  <c r="V30" s="1"/>
  <c r="V27"/>
  <c r="U29"/>
  <c r="U30" s="1"/>
  <c r="U27"/>
  <c r="T29"/>
  <c r="T30" s="1"/>
  <c r="T27"/>
  <c r="S29"/>
  <c r="S30" s="1"/>
  <c r="S27"/>
  <c r="R29"/>
  <c r="R30" s="1"/>
  <c r="R27"/>
  <c r="Q29"/>
  <c r="Q30" s="1"/>
  <c r="Q27"/>
  <c r="P29"/>
  <c r="P30" s="1"/>
  <c r="P27"/>
  <c r="O29"/>
  <c r="O30" s="1"/>
  <c r="O27"/>
  <c r="O12" i="9"/>
  <c r="D77" i="4"/>
  <c r="N29" i="18"/>
  <c r="N30" s="1"/>
  <c r="N27"/>
  <c r="M29"/>
  <c r="M30" s="1"/>
  <c r="M27"/>
  <c r="L29"/>
  <c r="L30" s="1"/>
  <c r="L27"/>
  <c r="K29"/>
  <c r="K30" s="1"/>
  <c r="K27"/>
  <c r="J29"/>
  <c r="J30" s="1"/>
  <c r="J27"/>
  <c r="I29"/>
  <c r="I30" s="1"/>
  <c r="I27"/>
  <c r="H29"/>
  <c r="H30" s="1"/>
  <c r="H27"/>
  <c r="G29"/>
  <c r="G30" s="1"/>
  <c r="G27"/>
  <c r="F29"/>
  <c r="F30" s="1"/>
  <c r="F27"/>
  <c r="E29"/>
  <c r="E30" s="1"/>
  <c r="E27"/>
  <c r="D29"/>
  <c r="D30" s="1"/>
  <c r="D27"/>
  <c r="C29"/>
  <c r="C30" s="1"/>
  <c r="C27"/>
  <c r="AB76" i="7"/>
  <c r="AA76"/>
  <c r="Z76"/>
  <c r="Y76"/>
  <c r="X76"/>
  <c r="X59"/>
  <c r="W76"/>
  <c r="W59"/>
  <c r="V76"/>
  <c r="V59"/>
  <c r="U76"/>
  <c r="U59"/>
  <c r="T76"/>
  <c r="T59"/>
  <c r="S76"/>
  <c r="S59"/>
  <c r="R76"/>
  <c r="R59"/>
  <c r="Q76"/>
  <c r="Q59"/>
  <c r="P76"/>
  <c r="P59"/>
  <c r="O76"/>
  <c r="O59"/>
  <c r="N76"/>
  <c r="N59"/>
  <c r="M76"/>
  <c r="M59"/>
  <c r="L76"/>
  <c r="L59"/>
  <c r="K76"/>
  <c r="K59"/>
  <c r="J76"/>
  <c r="J59"/>
  <c r="I76"/>
  <c r="I59"/>
  <c r="H76"/>
  <c r="H59"/>
  <c r="G76"/>
  <c r="G59"/>
  <c r="F76"/>
  <c r="F59"/>
  <c r="E76"/>
  <c r="E59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B26" i="9" s="1"/>
  <c r="X53" i="7"/>
  <c r="X53" i="4"/>
  <c r="X52" i="7"/>
  <c r="X52" i="4"/>
  <c r="X51" i="7"/>
  <c r="X51" i="4"/>
  <c r="W53" i="7"/>
  <c r="W53" i="4"/>
  <c r="W52" i="7"/>
  <c r="W52" i="4"/>
  <c r="W51" i="7"/>
  <c r="W51" i="4"/>
  <c r="V53" i="7"/>
  <c r="V53" i="4"/>
  <c r="V52" i="7"/>
  <c r="V52" i="4"/>
  <c r="V51" i="7"/>
  <c r="V51" i="4"/>
  <c r="U53" i="7"/>
  <c r="U53" i="4"/>
  <c r="U52" i="7"/>
  <c r="U52" i="4"/>
  <c r="U51" i="7"/>
  <c r="U51" i="4"/>
  <c r="T53" i="7"/>
  <c r="T53" i="4"/>
  <c r="T52" i="7"/>
  <c r="T52" i="4"/>
  <c r="T51" i="7"/>
  <c r="T51" i="4"/>
  <c r="S53" i="7"/>
  <c r="S53" i="4"/>
  <c r="S52" i="7"/>
  <c r="S52" i="4"/>
  <c r="S51" i="7"/>
  <c r="S51" i="4"/>
  <c r="R53" i="7"/>
  <c r="R53" i="4"/>
  <c r="R52" i="7"/>
  <c r="R52" i="4"/>
  <c r="R51" i="7"/>
  <c r="R51" i="4"/>
  <c r="Q53" i="7"/>
  <c r="Q53" i="4"/>
  <c r="Q52" i="7"/>
  <c r="Q52" i="4"/>
  <c r="Q51" i="7"/>
  <c r="Q51" i="4"/>
  <c r="P53" i="7"/>
  <c r="P53" i="4"/>
  <c r="P52" i="7"/>
  <c r="P52" i="4"/>
  <c r="P51" i="7"/>
  <c r="P51" i="4"/>
  <c r="O53" i="7"/>
  <c r="O53" i="4"/>
  <c r="O52" i="7"/>
  <c r="O52" i="4"/>
  <c r="O51" i="7"/>
  <c r="O51" i="4"/>
  <c r="N53" i="7"/>
  <c r="N53" i="4"/>
  <c r="N52" i="7"/>
  <c r="N52" i="4"/>
  <c r="N51" i="7"/>
  <c r="N51" i="4"/>
  <c r="M53" i="7"/>
  <c r="M53" i="4"/>
  <c r="M52" i="7"/>
  <c r="M52" i="4"/>
  <c r="M51" i="7"/>
  <c r="M51" i="4"/>
  <c r="L53" i="7"/>
  <c r="L53" i="4"/>
  <c r="L52" i="7"/>
  <c r="L52" i="4"/>
  <c r="L51" i="7"/>
  <c r="L51" i="4"/>
  <c r="K53" i="7"/>
  <c r="K53" i="4"/>
  <c r="K52" i="7"/>
  <c r="K52" i="4"/>
  <c r="K51" i="7"/>
  <c r="K51" i="4"/>
  <c r="J53" i="7"/>
  <c r="J53" i="4"/>
  <c r="J52" i="7"/>
  <c r="J52" i="4"/>
  <c r="J51" i="7"/>
  <c r="J51" i="4"/>
  <c r="I53" i="7"/>
  <c r="I53" i="4"/>
  <c r="I52" i="7"/>
  <c r="I52" i="4"/>
  <c r="I51" i="7"/>
  <c r="I51" i="4"/>
  <c r="H53" i="7"/>
  <c r="H53" i="4"/>
  <c r="H52" i="7"/>
  <c r="H52" i="4"/>
  <c r="H51" i="7"/>
  <c r="H51" i="4"/>
  <c r="G53" i="7"/>
  <c r="G53" i="4"/>
  <c r="G52" i="7"/>
  <c r="G52" i="4"/>
  <c r="G51" i="7"/>
  <c r="G51" i="4"/>
  <c r="F53" i="7"/>
  <c r="F53" i="4"/>
  <c r="F52" i="7"/>
  <c r="F52" i="4"/>
  <c r="F51" i="7"/>
  <c r="F51" i="4"/>
  <c r="E53" i="7"/>
  <c r="E53" i="4"/>
  <c r="E52" i="7"/>
  <c r="E52" i="4"/>
  <c r="E51" i="7"/>
  <c r="E51" i="4"/>
  <c r="X70"/>
  <c r="X71" i="7"/>
  <c r="W70" i="4"/>
  <c r="W71" i="7"/>
  <c r="V70" i="4"/>
  <c r="V71" i="7"/>
  <c r="U70" i="4"/>
  <c r="U71" i="7"/>
  <c r="T70" i="4"/>
  <c r="T71" i="7"/>
  <c r="S70" i="4"/>
  <c r="S71" i="7"/>
  <c r="R70" i="4"/>
  <c r="R71" i="7"/>
  <c r="Q70" i="4"/>
  <c r="Q71" i="7"/>
  <c r="P70" i="4"/>
  <c r="P71" i="7"/>
  <c r="O70" i="4"/>
  <c r="O71" i="7"/>
  <c r="N70" i="4"/>
  <c r="N71" i="7"/>
  <c r="M70" i="4"/>
  <c r="M71" i="7"/>
  <c r="L70" i="4"/>
  <c r="L71" i="7"/>
  <c r="K70" i="4"/>
  <c r="K71" i="7"/>
  <c r="J70" i="4"/>
  <c r="J71" i="7"/>
  <c r="I70" i="4"/>
  <c r="I71" i="7"/>
  <c r="H70" i="4"/>
  <c r="H71" i="7"/>
  <c r="G70" i="4"/>
  <c r="G71" i="7"/>
  <c r="F70" i="4"/>
  <c r="F71" i="7"/>
  <c r="E70" i="4"/>
  <c r="E71" i="7"/>
  <c r="J75" i="4" l="1"/>
  <c r="G79"/>
  <c r="E13" i="9" s="1"/>
  <c r="E8" s="1"/>
  <c r="J79" i="4"/>
  <c r="H13" i="9" s="1"/>
  <c r="M79" i="4"/>
  <c r="K13" i="9" s="1"/>
  <c r="N79" i="4"/>
  <c r="L13" i="9" s="1"/>
  <c r="O79" i="4"/>
  <c r="M13" i="9" s="1"/>
  <c r="M8" s="1"/>
  <c r="Q79" i="4"/>
  <c r="O13" i="9" s="1"/>
  <c r="O15" s="1"/>
  <c r="R79" i="4"/>
  <c r="P13" i="9" s="1"/>
  <c r="V79" i="4"/>
  <c r="T13" i="9" s="1"/>
  <c r="W79" i="4"/>
  <c r="U13" i="9" s="1"/>
  <c r="S12"/>
  <c r="X23"/>
  <c r="T23"/>
  <c r="Z23"/>
  <c r="S23"/>
  <c r="B28" i="18"/>
  <c r="AA23" i="9"/>
  <c r="AD23"/>
  <c r="AB23"/>
  <c r="X9"/>
  <c r="T9"/>
  <c r="L9"/>
  <c r="H9"/>
  <c r="D9"/>
  <c r="R9"/>
  <c r="B9"/>
  <c r="Y23"/>
  <c r="U23"/>
  <c r="Q23"/>
  <c r="W23"/>
  <c r="AC23"/>
  <c r="AE23"/>
  <c r="Z9"/>
  <c r="V9"/>
  <c r="N9"/>
  <c r="J9"/>
  <c r="F9"/>
  <c r="P9"/>
  <c r="V12"/>
  <c r="F75" i="4"/>
  <c r="P75"/>
  <c r="R12" i="9"/>
  <c r="F79" i="4"/>
  <c r="D13" i="9" s="1"/>
  <c r="U79" i="4"/>
  <c r="U82" s="1"/>
  <c r="K75"/>
  <c r="J12" i="9"/>
  <c r="E79" i="4"/>
  <c r="H79"/>
  <c r="F13" i="9" s="1"/>
  <c r="I79" i="4"/>
  <c r="K79"/>
  <c r="L79"/>
  <c r="J13" i="9" s="1"/>
  <c r="S79" i="4"/>
  <c r="E75"/>
  <c r="I75"/>
  <c r="K12" i="9"/>
  <c r="T12"/>
  <c r="AF24"/>
  <c r="AG24"/>
  <c r="D7" i="10" s="1"/>
  <c r="D8" s="1"/>
  <c r="P79" i="4"/>
  <c r="N13" i="9" s="1"/>
  <c r="N8" s="1"/>
  <c r="T79" i="4"/>
  <c r="R13" i="9" s="1"/>
  <c r="X79" i="4"/>
  <c r="V13" i="9" s="1"/>
  <c r="G75" i="4"/>
  <c r="G82" s="1"/>
  <c r="L12" i="9"/>
  <c r="H75" i="4"/>
  <c r="H82" s="1"/>
  <c r="O75"/>
  <c r="U12" i="9"/>
  <c r="U8" s="1"/>
  <c r="Q12"/>
  <c r="D79" i="4"/>
  <c r="B13" i="9" s="1"/>
  <c r="E79" i="7"/>
  <c r="C27" i="9" s="1"/>
  <c r="F79" i="7"/>
  <c r="G79"/>
  <c r="E27" i="9" s="1"/>
  <c r="H79" i="7"/>
  <c r="I79"/>
  <c r="G27" i="9" s="1"/>
  <c r="J79" i="7"/>
  <c r="K79"/>
  <c r="I27" i="9" s="1"/>
  <c r="L79" i="7"/>
  <c r="M79"/>
  <c r="K27" i="9" s="1"/>
  <c r="N79" i="7"/>
  <c r="O79"/>
  <c r="M27" i="9" s="1"/>
  <c r="P79" i="7"/>
  <c r="Q79"/>
  <c r="O27" i="9" s="1"/>
  <c r="R79" i="7"/>
  <c r="S79"/>
  <c r="Q27" i="9" s="1"/>
  <c r="T79" i="7"/>
  <c r="U79"/>
  <c r="S27" i="9" s="1"/>
  <c r="V79" i="7"/>
  <c r="T27" i="9" s="1"/>
  <c r="W79" i="7"/>
  <c r="U27" i="9" s="1"/>
  <c r="X79" i="7"/>
  <c r="P12" i="9"/>
  <c r="D79" i="7"/>
  <c r="AG29" i="18"/>
  <c r="AF29"/>
  <c r="AF30" s="1"/>
  <c r="Y56" i="2"/>
  <c r="Y69" i="7"/>
  <c r="Y53" i="2"/>
  <c r="Y68" i="4"/>
  <c r="Y57" i="2"/>
  <c r="Y54"/>
  <c r="Y69" i="4"/>
  <c r="Y70" i="7"/>
  <c r="Z23" i="2"/>
  <c r="Z25"/>
  <c r="Z24"/>
  <c r="Z26"/>
  <c r="X36" i="18"/>
  <c r="Z70" i="2"/>
  <c r="Z71"/>
  <c r="Z69"/>
  <c r="Y22" i="4"/>
  <c r="Y22" i="7"/>
  <c r="Y23" i="4"/>
  <c r="W7" i="18" s="1"/>
  <c r="Y23" i="7"/>
  <c r="Y55" i="2"/>
  <c r="Y52"/>
  <c r="Y67" i="4"/>
  <c r="Y68" i="7"/>
  <c r="Y24" i="4"/>
  <c r="W8" i="18" s="1"/>
  <c r="Y24" i="7"/>
  <c r="Y25" i="4"/>
  <c r="W9" i="18" s="1"/>
  <c r="Y25" i="7"/>
  <c r="M15" i="9"/>
  <c r="Y30" i="18"/>
  <c r="Z30"/>
  <c r="B12" i="9"/>
  <c r="D75" i="4"/>
  <c r="O28" i="18"/>
  <c r="O31"/>
  <c r="O32" s="1"/>
  <c r="P28"/>
  <c r="P31"/>
  <c r="P32" s="1"/>
  <c r="Q28"/>
  <c r="Q31"/>
  <c r="Q32" s="1"/>
  <c r="R28"/>
  <c r="R31"/>
  <c r="R32" s="1"/>
  <c r="S28"/>
  <c r="S31"/>
  <c r="S32" s="1"/>
  <c r="T28"/>
  <c r="T31"/>
  <c r="T32" s="1"/>
  <c r="U28"/>
  <c r="U31"/>
  <c r="U32" s="1"/>
  <c r="V28"/>
  <c r="V31"/>
  <c r="V32" s="1"/>
  <c r="C26" i="9"/>
  <c r="E75" i="7"/>
  <c r="D26" i="9"/>
  <c r="F75" i="7"/>
  <c r="E26" i="9"/>
  <c r="G75" i="7"/>
  <c r="F26" i="9"/>
  <c r="H75" i="7"/>
  <c r="G26" i="9"/>
  <c r="I75" i="7"/>
  <c r="H26" i="9"/>
  <c r="J75" i="7"/>
  <c r="I26" i="9"/>
  <c r="K75" i="7"/>
  <c r="J26" i="9"/>
  <c r="L75" i="7"/>
  <c r="K26" i="9"/>
  <c r="M75" i="7"/>
  <c r="L26" i="9"/>
  <c r="N75" i="7"/>
  <c r="M26" i="9"/>
  <c r="O75" i="7"/>
  <c r="N26" i="9"/>
  <c r="P75" i="7"/>
  <c r="O26" i="9"/>
  <c r="Q75" i="7"/>
  <c r="P26" i="9"/>
  <c r="R75" i="7"/>
  <c r="Q26" i="9"/>
  <c r="S75" i="7"/>
  <c r="R26" i="9"/>
  <c r="T75" i="7"/>
  <c r="S26" i="9"/>
  <c r="U75" i="7"/>
  <c r="T26" i="9"/>
  <c r="V75" i="7"/>
  <c r="U26" i="9"/>
  <c r="W75" i="7"/>
  <c r="V26" i="9"/>
  <c r="X75" i="7"/>
  <c r="C28" i="18"/>
  <c r="C31"/>
  <c r="D28"/>
  <c r="D31"/>
  <c r="D32" s="1"/>
  <c r="E28"/>
  <c r="E31"/>
  <c r="E32" s="1"/>
  <c r="F28"/>
  <c r="F31"/>
  <c r="F32" s="1"/>
  <c r="G28"/>
  <c r="G31"/>
  <c r="G32" s="1"/>
  <c r="H28"/>
  <c r="H31"/>
  <c r="H32" s="1"/>
  <c r="I28"/>
  <c r="I31"/>
  <c r="I32" s="1"/>
  <c r="J28"/>
  <c r="J31"/>
  <c r="J32" s="1"/>
  <c r="K28"/>
  <c r="K31"/>
  <c r="K32" s="1"/>
  <c r="L28"/>
  <c r="L31"/>
  <c r="L32" s="1"/>
  <c r="M28"/>
  <c r="M31"/>
  <c r="M32" s="1"/>
  <c r="N28"/>
  <c r="N31"/>
  <c r="N32" s="1"/>
  <c r="D75" i="7"/>
  <c r="C21" i="9"/>
  <c r="C7"/>
  <c r="D21"/>
  <c r="D7"/>
  <c r="E21"/>
  <c r="E7"/>
  <c r="F21"/>
  <c r="F7"/>
  <c r="G21"/>
  <c r="G7"/>
  <c r="H21"/>
  <c r="H7"/>
  <c r="I21"/>
  <c r="I7"/>
  <c r="J21"/>
  <c r="J7"/>
  <c r="K21"/>
  <c r="K7"/>
  <c r="L21"/>
  <c r="L7"/>
  <c r="M21"/>
  <c r="M7"/>
  <c r="N21"/>
  <c r="N7"/>
  <c r="O21"/>
  <c r="O7"/>
  <c r="P21"/>
  <c r="P7"/>
  <c r="Q21"/>
  <c r="Q7"/>
  <c r="R21"/>
  <c r="R7"/>
  <c r="S21"/>
  <c r="S7"/>
  <c r="T21"/>
  <c r="T7"/>
  <c r="U21"/>
  <c r="U7"/>
  <c r="W82" i="4"/>
  <c r="V21" i="9"/>
  <c r="V7"/>
  <c r="B34" i="10"/>
  <c r="M14" i="9" l="1"/>
  <c r="M16" s="1"/>
  <c r="R82" i="4"/>
  <c r="M82"/>
  <c r="V82"/>
  <c r="Q82"/>
  <c r="H14" i="9"/>
  <c r="H16" s="1"/>
  <c r="D14"/>
  <c r="D16" s="1"/>
  <c r="O8"/>
  <c r="E14"/>
  <c r="E16" s="1"/>
  <c r="E15"/>
  <c r="M85" i="4"/>
  <c r="O85"/>
  <c r="O82"/>
  <c r="K8" i="9"/>
  <c r="D8"/>
  <c r="G85" i="4"/>
  <c r="W85"/>
  <c r="H8" i="9"/>
  <c r="O14"/>
  <c r="O16" s="1"/>
  <c r="N82" i="4"/>
  <c r="J82"/>
  <c r="H15" i="9"/>
  <c r="D15"/>
  <c r="R8"/>
  <c r="T15"/>
  <c r="F15"/>
  <c r="R85" i="4"/>
  <c r="Q85"/>
  <c r="J85"/>
  <c r="N85"/>
  <c r="V85"/>
  <c r="AG23" i="9"/>
  <c r="C7" i="10" s="1"/>
  <c r="C17" s="1"/>
  <c r="AF23" i="9"/>
  <c r="AG9"/>
  <c r="C6" i="10" s="1"/>
  <c r="C16" s="1"/>
  <c r="P15" i="9"/>
  <c r="L8"/>
  <c r="V15"/>
  <c r="AF9"/>
  <c r="G13"/>
  <c r="G8" s="1"/>
  <c r="I85" i="4"/>
  <c r="C13" i="9"/>
  <c r="C8" s="1"/>
  <c r="E85" i="4"/>
  <c r="E84" i="7"/>
  <c r="I84"/>
  <c r="M84"/>
  <c r="Q84"/>
  <c r="B27" i="9"/>
  <c r="B28" s="1"/>
  <c r="B30" s="1"/>
  <c r="D84" i="7"/>
  <c r="V27" i="9"/>
  <c r="V28" s="1"/>
  <c r="V30" s="1"/>
  <c r="X84" i="7"/>
  <c r="R27" i="9"/>
  <c r="R28" s="1"/>
  <c r="R30" s="1"/>
  <c r="T84" i="7"/>
  <c r="P27" i="9"/>
  <c r="P28" s="1"/>
  <c r="P30" s="1"/>
  <c r="R84" i="7"/>
  <c r="N27" i="9"/>
  <c r="N22" s="1"/>
  <c r="P84" i="7"/>
  <c r="L27" i="9"/>
  <c r="L22" s="1"/>
  <c r="N84" i="7"/>
  <c r="J27" i="9"/>
  <c r="J22" s="1"/>
  <c r="L84" i="7"/>
  <c r="H27" i="9"/>
  <c r="H22" s="1"/>
  <c r="J84" i="7"/>
  <c r="F27" i="9"/>
  <c r="F22" s="1"/>
  <c r="H84" i="7"/>
  <c r="D27" i="9"/>
  <c r="D22" s="1"/>
  <c r="F84" i="7"/>
  <c r="Q13" i="9"/>
  <c r="Q8" s="1"/>
  <c r="S85" i="4"/>
  <c r="I13" i="9"/>
  <c r="I15" s="1"/>
  <c r="K85" i="4"/>
  <c r="S13" i="9"/>
  <c r="S14" s="1"/>
  <c r="S16" s="1"/>
  <c r="U85" i="4"/>
  <c r="G84" i="7"/>
  <c r="K84"/>
  <c r="O84"/>
  <c r="H85" i="4"/>
  <c r="L85"/>
  <c r="P85"/>
  <c r="X85"/>
  <c r="S84" i="7"/>
  <c r="W84"/>
  <c r="D85" i="4"/>
  <c r="T85"/>
  <c r="F85"/>
  <c r="U84" i="7"/>
  <c r="V84"/>
  <c r="F82" i="4"/>
  <c r="S82"/>
  <c r="F14" i="9"/>
  <c r="F16" s="1"/>
  <c r="U15"/>
  <c r="K15"/>
  <c r="F8"/>
  <c r="J15"/>
  <c r="I82" i="4"/>
  <c r="U14" i="9"/>
  <c r="U16" s="1"/>
  <c r="T82" i="4"/>
  <c r="K14" i="9"/>
  <c r="K16" s="1"/>
  <c r="K82" i="4"/>
  <c r="L82"/>
  <c r="E82"/>
  <c r="J8" i="9"/>
  <c r="T8"/>
  <c r="T14"/>
  <c r="T16" s="1"/>
  <c r="J14"/>
  <c r="J16" s="1"/>
  <c r="V8"/>
  <c r="R14"/>
  <c r="R16" s="1"/>
  <c r="D82" i="4"/>
  <c r="R15" i="9"/>
  <c r="V14"/>
  <c r="V16" s="1"/>
  <c r="P14"/>
  <c r="P16" s="1"/>
  <c r="N15"/>
  <c r="L15"/>
  <c r="N14"/>
  <c r="N16" s="1"/>
  <c r="L14"/>
  <c r="L16" s="1"/>
  <c r="W81" i="7"/>
  <c r="U81"/>
  <c r="S81"/>
  <c r="Q81"/>
  <c r="O81"/>
  <c r="M81"/>
  <c r="K81"/>
  <c r="I81"/>
  <c r="G81"/>
  <c r="E81"/>
  <c r="P8" i="9"/>
  <c r="T28"/>
  <c r="T30" s="1"/>
  <c r="T81" i="7"/>
  <c r="R81"/>
  <c r="P81"/>
  <c r="N81"/>
  <c r="L81"/>
  <c r="J81"/>
  <c r="H81"/>
  <c r="F81"/>
  <c r="X82" i="4"/>
  <c r="P82"/>
  <c r="X81" i="7"/>
  <c r="V81"/>
  <c r="D81"/>
  <c r="D17" i="10"/>
  <c r="U28" i="9"/>
  <c r="U30" s="1"/>
  <c r="S28"/>
  <c r="S30" s="1"/>
  <c r="Q28"/>
  <c r="Q30" s="1"/>
  <c r="AG30" i="18"/>
  <c r="O28" i="9"/>
  <c r="O30" s="1"/>
  <c r="M28"/>
  <c r="M30" s="1"/>
  <c r="K28"/>
  <c r="K30" s="1"/>
  <c r="I28"/>
  <c r="I30" s="1"/>
  <c r="G28"/>
  <c r="G30" s="1"/>
  <c r="Y71" i="7"/>
  <c r="W21" i="9" s="1"/>
  <c r="Y54" i="7"/>
  <c r="Y54" i="4"/>
  <c r="W6" i="18"/>
  <c r="Y77" i="4"/>
  <c r="Y59"/>
  <c r="Z55" i="2"/>
  <c r="Z68" i="7"/>
  <c r="Z52" i="2"/>
  <c r="Z67" i="4"/>
  <c r="Z56" i="2"/>
  <c r="Z53"/>
  <c r="Z68" i="4"/>
  <c r="Z69" i="7"/>
  <c r="AA23" i="2"/>
  <c r="AA25"/>
  <c r="AA24"/>
  <c r="AA26"/>
  <c r="AA36" i="18"/>
  <c r="Y36"/>
  <c r="AA71" i="2"/>
  <c r="AA69"/>
  <c r="AA70"/>
  <c r="Z23" i="4"/>
  <c r="X7" i="18" s="1"/>
  <c r="Z23" i="7"/>
  <c r="Z22" i="4"/>
  <c r="Z22" i="7"/>
  <c r="Y56"/>
  <c r="Y56" i="4"/>
  <c r="Y52"/>
  <c r="Y52" i="7"/>
  <c r="Y55"/>
  <c r="Y55" i="4"/>
  <c r="E28" i="9"/>
  <c r="E30" s="1"/>
  <c r="Y70" i="4"/>
  <c r="U29" i="9"/>
  <c r="U22"/>
  <c r="T29"/>
  <c r="T22"/>
  <c r="S29"/>
  <c r="S22"/>
  <c r="Q29"/>
  <c r="Q22"/>
  <c r="O29"/>
  <c r="O22"/>
  <c r="M29"/>
  <c r="M22"/>
  <c r="K29"/>
  <c r="K22"/>
  <c r="I29"/>
  <c r="I22"/>
  <c r="G29"/>
  <c r="G22"/>
  <c r="E29"/>
  <c r="E22"/>
  <c r="C29"/>
  <c r="C22"/>
  <c r="Y51" i="4"/>
  <c r="Y51" i="7"/>
  <c r="Y59"/>
  <c r="Y77"/>
  <c r="Z57" i="2"/>
  <c r="Z70" i="7"/>
  <c r="Z69" i="4"/>
  <c r="Z54" i="2"/>
  <c r="Z25" i="4"/>
  <c r="X9" i="18" s="1"/>
  <c r="Z25" i="7"/>
  <c r="Z24" i="4"/>
  <c r="X8" i="18" s="1"/>
  <c r="Z24" i="7"/>
  <c r="Y53" i="4"/>
  <c r="Y53" i="7"/>
  <c r="B15" i="9"/>
  <c r="B8"/>
  <c r="B14"/>
  <c r="C32" i="18"/>
  <c r="C28" i="9"/>
  <c r="C30" s="1"/>
  <c r="B45" i="10" l="1"/>
  <c r="C18"/>
  <c r="C14" i="9"/>
  <c r="C16" s="1"/>
  <c r="C8" i="10"/>
  <c r="B29" i="9"/>
  <c r="C35" s="1"/>
  <c r="I14"/>
  <c r="I16" s="1"/>
  <c r="J29"/>
  <c r="R29"/>
  <c r="N29"/>
  <c r="V29"/>
  <c r="C15"/>
  <c r="G14"/>
  <c r="G16" s="1"/>
  <c r="F29"/>
  <c r="L29"/>
  <c r="P29"/>
  <c r="L28"/>
  <c r="L30" s="1"/>
  <c r="N28"/>
  <c r="N30" s="1"/>
  <c r="D29"/>
  <c r="H29"/>
  <c r="H28"/>
  <c r="H30" s="1"/>
  <c r="J28"/>
  <c r="J30" s="1"/>
  <c r="D28"/>
  <c r="D30" s="1"/>
  <c r="F28"/>
  <c r="F30" s="1"/>
  <c r="P22"/>
  <c r="R22"/>
  <c r="V22"/>
  <c r="B22"/>
  <c r="Q14"/>
  <c r="Q16" s="1"/>
  <c r="Q15"/>
  <c r="G15"/>
  <c r="I8"/>
  <c r="S8"/>
  <c r="S15"/>
  <c r="AC24" i="2"/>
  <c r="AB36" i="18"/>
  <c r="AC69" i="2"/>
  <c r="AC23"/>
  <c r="AC71"/>
  <c r="AC25"/>
  <c r="AC70"/>
  <c r="AC26"/>
  <c r="D18" i="10"/>
  <c r="B16" i="9"/>
  <c r="Z56" i="7"/>
  <c r="Z56" i="4"/>
  <c r="X6" i="18"/>
  <c r="X27" s="1"/>
  <c r="Z59" i="4"/>
  <c r="Z77"/>
  <c r="AA55" i="2"/>
  <c r="AA52"/>
  <c r="AA67" i="4"/>
  <c r="AA68" i="7"/>
  <c r="AA25" i="4"/>
  <c r="Y9" i="18" s="1"/>
  <c r="AA25" i="7"/>
  <c r="AA24" i="4"/>
  <c r="Y8" i="18" s="1"/>
  <c r="AA24" i="7"/>
  <c r="Z52" i="4"/>
  <c r="Z52" i="7"/>
  <c r="W27" i="18"/>
  <c r="Y79" i="4"/>
  <c r="Z70"/>
  <c r="Z71" i="7"/>
  <c r="Z53" i="4"/>
  <c r="Z53" i="7"/>
  <c r="W26" i="9"/>
  <c r="Y75" i="7"/>
  <c r="W7" i="9"/>
  <c r="Z77" i="7"/>
  <c r="Z59"/>
  <c r="AA56" i="2"/>
  <c r="AA69" i="7"/>
  <c r="AA53" i="2"/>
  <c r="AA68" i="4"/>
  <c r="AA57" i="2"/>
  <c r="AA54"/>
  <c r="AA69" i="4"/>
  <c r="AA70" i="7"/>
  <c r="AB23" i="2"/>
  <c r="AB25"/>
  <c r="AB24"/>
  <c r="AB26"/>
  <c r="Z36" i="18"/>
  <c r="AB70" i="2"/>
  <c r="AB71"/>
  <c r="AB69"/>
  <c r="AA23" i="4"/>
  <c r="Y7" i="18" s="1"/>
  <c r="AA23" i="7"/>
  <c r="AA22" i="4"/>
  <c r="AA22" i="7"/>
  <c r="Z55"/>
  <c r="Z55" i="4"/>
  <c r="Z51"/>
  <c r="Z51" i="7"/>
  <c r="Z54"/>
  <c r="Z54" i="4"/>
  <c r="Y75"/>
  <c r="W12" i="9"/>
  <c r="Y79" i="7"/>
  <c r="C34" i="9"/>
  <c r="B34"/>
  <c r="B30" i="10"/>
  <c r="B31" l="1"/>
  <c r="B35" i="9"/>
  <c r="W27"/>
  <c r="W22" s="1"/>
  <c r="Y84" i="7"/>
  <c r="W13" i="9"/>
  <c r="W15" s="1"/>
  <c r="Y85" i="4"/>
  <c r="AC56" i="2"/>
  <c r="AC53"/>
  <c r="AC68" i="4"/>
  <c r="AC69" i="7"/>
  <c r="AC54" i="2"/>
  <c r="AC57"/>
  <c r="AC69" i="4"/>
  <c r="AC70" i="7"/>
  <c r="AC52" i="2"/>
  <c r="AC55"/>
  <c r="AC67" i="4"/>
  <c r="AC70" s="1"/>
  <c r="AA7" i="9" s="1"/>
  <c r="AC68" i="7"/>
  <c r="AC71" s="1"/>
  <c r="AC23"/>
  <c r="AC23" i="4"/>
  <c r="AA7" i="18" s="1"/>
  <c r="AC25" i="7"/>
  <c r="AC25" i="4"/>
  <c r="AA9" i="18" s="1"/>
  <c r="AC24" i="4"/>
  <c r="AA8" i="18" s="1"/>
  <c r="AC24" i="7"/>
  <c r="AC22" i="4"/>
  <c r="AA6" i="18" s="1"/>
  <c r="AC22" i="7"/>
  <c r="AD25" i="2"/>
  <c r="AD71"/>
  <c r="AD24"/>
  <c r="AD70"/>
  <c r="AD23"/>
  <c r="AD69"/>
  <c r="AC36" i="18"/>
  <c r="AD26" i="2"/>
  <c r="Y82" i="4"/>
  <c r="Z79"/>
  <c r="Y6" i="18"/>
  <c r="AA59" i="4"/>
  <c r="AA77"/>
  <c r="AB55" i="2"/>
  <c r="AB68" i="7"/>
  <c r="AB67" i="4"/>
  <c r="AB52" i="2"/>
  <c r="AB25" i="4"/>
  <c r="Z9" i="18" s="1"/>
  <c r="AF9" s="1"/>
  <c r="AB25" i="7"/>
  <c r="X21" i="9"/>
  <c r="W31" i="18"/>
  <c r="W28"/>
  <c r="W8" i="9"/>
  <c r="AA59" i="7"/>
  <c r="AA77"/>
  <c r="AB57" i="2"/>
  <c r="AB70" i="7"/>
  <c r="AB54" i="2"/>
  <c r="AB69" i="4"/>
  <c r="AB23"/>
  <c r="Z7" i="18" s="1"/>
  <c r="AG7" s="1"/>
  <c r="AB23" i="7"/>
  <c r="AB22" i="4"/>
  <c r="AB22" i="7"/>
  <c r="AA56"/>
  <c r="AA56" i="4"/>
  <c r="AA52"/>
  <c r="AA52" i="7"/>
  <c r="AA55"/>
  <c r="AA55" i="4"/>
  <c r="X26" i="9"/>
  <c r="Z75" i="7"/>
  <c r="X7" i="9"/>
  <c r="AA51" i="4"/>
  <c r="AA51" i="7"/>
  <c r="Z75" i="4"/>
  <c r="X12" i="9"/>
  <c r="X31" i="18"/>
  <c r="X32" s="1"/>
  <c r="X28"/>
  <c r="Y81" i="7"/>
  <c r="Z79"/>
  <c r="AA71"/>
  <c r="AB56" i="2"/>
  <c r="AB53"/>
  <c r="AB68" i="4"/>
  <c r="AB69" i="7"/>
  <c r="AB24" i="4"/>
  <c r="Z8" i="18" s="1"/>
  <c r="AF8" s="1"/>
  <c r="AB24" i="7"/>
  <c r="AA53" i="4"/>
  <c r="AA53" i="7"/>
  <c r="AA54"/>
  <c r="AA54" i="4"/>
  <c r="AA70"/>
  <c r="W28" i="9" l="1"/>
  <c r="AF7" i="18"/>
  <c r="W29" i="9"/>
  <c r="W14"/>
  <c r="W16" s="1"/>
  <c r="X27"/>
  <c r="X28" s="1"/>
  <c r="X30" s="1"/>
  <c r="Z84" i="7"/>
  <c r="X13" i="9"/>
  <c r="X15" s="1"/>
  <c r="Z85" i="4"/>
  <c r="AA27" i="18"/>
  <c r="AE26" i="2"/>
  <c r="AE23"/>
  <c r="AE69"/>
  <c r="AD36" i="18"/>
  <c r="AE24" i="2"/>
  <c r="AE70"/>
  <c r="AE25"/>
  <c r="AE71"/>
  <c r="AD22" i="7"/>
  <c r="AD22" i="4"/>
  <c r="AB6" i="18" s="1"/>
  <c r="AD23" i="4"/>
  <c r="AB7" i="18" s="1"/>
  <c r="AD23" i="7"/>
  <c r="AD24"/>
  <c r="AD24" i="4"/>
  <c r="AB8" i="18" s="1"/>
  <c r="AC77" i="4"/>
  <c r="AC59"/>
  <c r="AC51" i="7"/>
  <c r="AC51" i="4"/>
  <c r="AC53" i="7"/>
  <c r="AC53" i="4"/>
  <c r="AC55" i="7"/>
  <c r="AC55" i="4"/>
  <c r="AD25"/>
  <c r="AB9" i="18" s="1"/>
  <c r="AD25" i="7"/>
  <c r="AD55" i="2"/>
  <c r="AD52"/>
  <c r="AD67" i="4"/>
  <c r="AD68" i="7"/>
  <c r="AD53" i="2"/>
  <c r="AD56"/>
  <c r="AD68" i="4"/>
  <c r="AD69" i="7"/>
  <c r="AD57" i="2"/>
  <c r="AD54"/>
  <c r="AD70" i="7"/>
  <c r="AD69" i="4"/>
  <c r="AC77" i="7"/>
  <c r="AC59"/>
  <c r="AA21" i="9"/>
  <c r="AC54" i="7"/>
  <c r="AC54" i="4"/>
  <c r="AC56" i="7"/>
  <c r="AC56" i="4"/>
  <c r="AC52" i="7"/>
  <c r="AC52" i="4"/>
  <c r="Z82"/>
  <c r="Z81" i="7"/>
  <c r="AG8" i="18"/>
  <c r="Y7" i="9"/>
  <c r="AB55" i="7"/>
  <c r="AB55" i="4"/>
  <c r="AB77" i="7"/>
  <c r="AB59"/>
  <c r="Y26" i="9"/>
  <c r="AA75" i="7"/>
  <c r="AB51" i="4"/>
  <c r="AB51" i="7"/>
  <c r="Y12" i="9"/>
  <c r="AA75" i="4"/>
  <c r="Y27" i="18"/>
  <c r="AB52" i="4"/>
  <c r="AB52" i="7"/>
  <c r="Y21" i="9"/>
  <c r="W30"/>
  <c r="Z6" i="18"/>
  <c r="Z27" s="1"/>
  <c r="AB59" i="4"/>
  <c r="AB77"/>
  <c r="AB53"/>
  <c r="AB53" i="7"/>
  <c r="AB56"/>
  <c r="AB56" i="4"/>
  <c r="W32" i="18"/>
  <c r="AB54" i="7"/>
  <c r="AB54" i="4"/>
  <c r="AA79"/>
  <c r="AB71" i="7"/>
  <c r="AA79"/>
  <c r="AB70" i="4"/>
  <c r="AG9" i="18"/>
  <c r="X14" i="9" l="1"/>
  <c r="X16" s="1"/>
  <c r="X22"/>
  <c r="X8"/>
  <c r="X29"/>
  <c r="Y27"/>
  <c r="Y29" s="1"/>
  <c r="AA84" i="7"/>
  <c r="Y13" i="9"/>
  <c r="Y8" s="1"/>
  <c r="AA85" i="4"/>
  <c r="AA31" i="18"/>
  <c r="AA32" s="1"/>
  <c r="AA28"/>
  <c r="AB27"/>
  <c r="AD71" i="7"/>
  <c r="AB21" i="9" s="1"/>
  <c r="AA26"/>
  <c r="AC75" i="7"/>
  <c r="AD56"/>
  <c r="AD56" i="4"/>
  <c r="AD52" i="7"/>
  <c r="AD52" i="4"/>
  <c r="AD54" i="7"/>
  <c r="AD54" i="4"/>
  <c r="AA12" i="9"/>
  <c r="AC75" i="4"/>
  <c r="AD77" i="7"/>
  <c r="AD59"/>
  <c r="AE24" i="4"/>
  <c r="AC8" i="18" s="1"/>
  <c r="AE24" i="7"/>
  <c r="AE23"/>
  <c r="AE23" i="4"/>
  <c r="AC7" i="18" s="1"/>
  <c r="AE52" i="2"/>
  <c r="AE55"/>
  <c r="AE67" i="4"/>
  <c r="AE68" i="7"/>
  <c r="AE25"/>
  <c r="AE25" i="4"/>
  <c r="AC9" i="18" s="1"/>
  <c r="AD70" i="4"/>
  <c r="AB7" i="9" s="1"/>
  <c r="AC79" i="7"/>
  <c r="AD53"/>
  <c r="AD53" i="4"/>
  <c r="AD55" i="7"/>
  <c r="AD55" i="4"/>
  <c r="AD51" i="7"/>
  <c r="AD51" i="4"/>
  <c r="AD59"/>
  <c r="AD77"/>
  <c r="AE54" i="2"/>
  <c r="AE57"/>
  <c r="AE70" i="7"/>
  <c r="AE69" i="4"/>
  <c r="AE56" i="2"/>
  <c r="AE53"/>
  <c r="AE69" i="7"/>
  <c r="AE68" i="4"/>
  <c r="AF25" i="2"/>
  <c r="AF71"/>
  <c r="AF24"/>
  <c r="AF70"/>
  <c r="AF23"/>
  <c r="AF69"/>
  <c r="AE36" i="18"/>
  <c r="AF26" i="2"/>
  <c r="AE22" i="4"/>
  <c r="AC6" i="18" s="1"/>
  <c r="AE22" i="7"/>
  <c r="AC79" i="4"/>
  <c r="AF6" i="18"/>
  <c r="AA82" i="4"/>
  <c r="Z7" i="9"/>
  <c r="Z21"/>
  <c r="Z12"/>
  <c r="AB75" i="4"/>
  <c r="Z28" i="18"/>
  <c r="Z31"/>
  <c r="Z32" s="1"/>
  <c r="Y28"/>
  <c r="Y31"/>
  <c r="AG27"/>
  <c r="AF27"/>
  <c r="AF28" s="1"/>
  <c r="AG6"/>
  <c r="AB79" i="4"/>
  <c r="Z26" i="9"/>
  <c r="AB75" i="7"/>
  <c r="AA81"/>
  <c r="AB79"/>
  <c r="Y14" i="9" l="1"/>
  <c r="Y16" s="1"/>
  <c r="Y28"/>
  <c r="Y22"/>
  <c r="Y15"/>
  <c r="Z27"/>
  <c r="Z29" s="1"/>
  <c r="AB84" i="7"/>
  <c r="AA13" i="9"/>
  <c r="AA8" s="1"/>
  <c r="AC85" i="4"/>
  <c r="Z13" i="9"/>
  <c r="Z15" s="1"/>
  <c r="AB85" i="4"/>
  <c r="AA27" i="9"/>
  <c r="AA28" s="1"/>
  <c r="AC84" i="7"/>
  <c r="AB31" i="18"/>
  <c r="AB32" s="1"/>
  <c r="AB28"/>
  <c r="AC27"/>
  <c r="AE59" i="4"/>
  <c r="AE77"/>
  <c r="AG26" i="2"/>
  <c r="AG23"/>
  <c r="AG69"/>
  <c r="AG24"/>
  <c r="AG70"/>
  <c r="AG25"/>
  <c r="AG71"/>
  <c r="AF22" i="7"/>
  <c r="AF22" i="4"/>
  <c r="AD6" i="18" s="1"/>
  <c r="AF23" i="4"/>
  <c r="AD7" i="18" s="1"/>
  <c r="AF23" i="7"/>
  <c r="AF24"/>
  <c r="AF24" i="4"/>
  <c r="AD8" i="18" s="1"/>
  <c r="AE55" i="7"/>
  <c r="AE55" i="4"/>
  <c r="AE53" i="7"/>
  <c r="AE53" i="4"/>
  <c r="AE51" i="7"/>
  <c r="AE51" i="4"/>
  <c r="AD75" i="7"/>
  <c r="AB26" i="9"/>
  <c r="AA15"/>
  <c r="AD79" i="4"/>
  <c r="AE70"/>
  <c r="AC7" i="9" s="1"/>
  <c r="AE77" i="7"/>
  <c r="AE59"/>
  <c r="AF25" i="4"/>
  <c r="AD9" i="18" s="1"/>
  <c r="AF25" i="7"/>
  <c r="AF52" i="2"/>
  <c r="AF55"/>
  <c r="AF67" i="4"/>
  <c r="AF68" i="7"/>
  <c r="AF56" i="2"/>
  <c r="AF53"/>
  <c r="AF69" i="7"/>
  <c r="AF68" i="4"/>
  <c r="AF54" i="2"/>
  <c r="AF57"/>
  <c r="AF69" i="4"/>
  <c r="AF70" i="7"/>
  <c r="AE52"/>
  <c r="AE52" i="4"/>
  <c r="AE56" i="7"/>
  <c r="AE56" i="4"/>
  <c r="AB12" i="9"/>
  <c r="AD75" i="4"/>
  <c r="AE54" i="7"/>
  <c r="AE54" i="4"/>
  <c r="AE71" i="7"/>
  <c r="AD79"/>
  <c r="AC82" i="4"/>
  <c r="AC81" i="7"/>
  <c r="AG28" i="18"/>
  <c r="B36" i="10" s="1"/>
  <c r="AB81" i="7"/>
  <c r="AB82" i="4"/>
  <c r="Z22" i="9"/>
  <c r="Y30"/>
  <c r="Y32" i="18"/>
  <c r="AG32" s="1"/>
  <c r="B35" i="10" s="1"/>
  <c r="AG31" i="18"/>
  <c r="AF31"/>
  <c r="AF32" s="1"/>
  <c r="Z14" i="9" l="1"/>
  <c r="Z16" s="1"/>
  <c r="Z8"/>
  <c r="Z28"/>
  <c r="Z30" s="1"/>
  <c r="AA14"/>
  <c r="AA16" s="1"/>
  <c r="AD82" i="4"/>
  <c r="AA22" i="9"/>
  <c r="AB27"/>
  <c r="AB28" s="1"/>
  <c r="AD84" i="7"/>
  <c r="AB13" i="9"/>
  <c r="AB8" s="1"/>
  <c r="AD85" i="4"/>
  <c r="AC31" i="18"/>
  <c r="AC32" s="1"/>
  <c r="AC28"/>
  <c r="AD27"/>
  <c r="AF70" i="4"/>
  <c r="AD7" i="9" s="1"/>
  <c r="AF53" i="7"/>
  <c r="AF53" i="4"/>
  <c r="AF55" i="7"/>
  <c r="AF55" i="4"/>
  <c r="AF51" i="7"/>
  <c r="AF51" i="4"/>
  <c r="AC26" i="9"/>
  <c r="AE75" i="7"/>
  <c r="AF77" i="4"/>
  <c r="AF59"/>
  <c r="AG54" i="2"/>
  <c r="AG57"/>
  <c r="AG69" i="4"/>
  <c r="AG70" i="7"/>
  <c r="AG56" i="2"/>
  <c r="AG53"/>
  <c r="AG68" i="4"/>
  <c r="AG69" i="7"/>
  <c r="AG52" i="2"/>
  <c r="AG55"/>
  <c r="AG67" i="4"/>
  <c r="AG70" s="1"/>
  <c r="AG68" i="7"/>
  <c r="AG71" s="1"/>
  <c r="AG25"/>
  <c r="AG25" i="4"/>
  <c r="AE9" i="18" s="1"/>
  <c r="AF71" i="7"/>
  <c r="AE79" i="4"/>
  <c r="AC21" i="9"/>
  <c r="AF56" i="7"/>
  <c r="AF56" i="4"/>
  <c r="AF52" i="7"/>
  <c r="AF52" i="4"/>
  <c r="AF54" i="7"/>
  <c r="AF54" i="4"/>
  <c r="AF77" i="7"/>
  <c r="AF59"/>
  <c r="AG24" i="4"/>
  <c r="AE8" i="18" s="1"/>
  <c r="AG24" i="7"/>
  <c r="AG23"/>
  <c r="AG23" i="4"/>
  <c r="AE7" i="18" s="1"/>
  <c r="AG22" i="4"/>
  <c r="AE6" i="18" s="1"/>
  <c r="AG22" i="7"/>
  <c r="AC12" i="9"/>
  <c r="AE75" i="4"/>
  <c r="AD81" i="7"/>
  <c r="AE79"/>
  <c r="B42" i="9"/>
  <c r="AB14" l="1"/>
  <c r="AB16" s="1"/>
  <c r="AB15"/>
  <c r="B43"/>
  <c r="AB22"/>
  <c r="AC27"/>
  <c r="AC22" s="1"/>
  <c r="AE84" i="7"/>
  <c r="AC13" i="9"/>
  <c r="AC14" s="1"/>
  <c r="AC16" s="1"/>
  <c r="AE85" i="4"/>
  <c r="AE27" i="18"/>
  <c r="B33" s="1"/>
  <c r="AD31"/>
  <c r="AD32" s="1"/>
  <c r="AD28"/>
  <c r="AF79" i="7"/>
  <c r="AE82" i="4"/>
  <c r="AG59"/>
  <c r="AG77"/>
  <c r="AF75" i="7"/>
  <c r="AD26" i="9"/>
  <c r="AD21"/>
  <c r="AE7"/>
  <c r="AF7" s="1"/>
  <c r="AG51" i="7"/>
  <c r="AG51" i="4"/>
  <c r="AG55" i="7"/>
  <c r="AG55" i="4"/>
  <c r="AG53" i="7"/>
  <c r="AG53" i="4"/>
  <c r="AD12" i="9"/>
  <c r="AF75" i="4"/>
  <c r="AG77" i="7"/>
  <c r="AG59"/>
  <c r="AE21" i="9"/>
  <c r="AG54" i="7"/>
  <c r="AG54" i="4"/>
  <c r="AG52" i="7"/>
  <c r="AG52" i="4"/>
  <c r="AG56" i="7"/>
  <c r="AG56" i="4"/>
  <c r="AE81" i="7"/>
  <c r="AF79" i="4"/>
  <c r="AG7" i="9" l="1"/>
  <c r="B6" i="10" s="1"/>
  <c r="B16" s="1"/>
  <c r="AC15" i="9"/>
  <c r="AE31" i="18"/>
  <c r="AE32" s="1"/>
  <c r="AC28" i="9"/>
  <c r="AC8"/>
  <c r="AF81" i="7"/>
  <c r="AD13" i="9"/>
  <c r="AD8" s="1"/>
  <c r="AF85" i="4"/>
  <c r="AD27" i="9"/>
  <c r="AD22" s="1"/>
  <c r="AF84" i="7"/>
  <c r="AE28" i="18"/>
  <c r="AE26" i="9"/>
  <c r="AG75" i="7"/>
  <c r="AE12" i="9"/>
  <c r="AF12" s="1"/>
  <c r="AG75" i="4"/>
  <c r="AG79" i="7"/>
  <c r="AG21" i="9"/>
  <c r="AF82" i="4"/>
  <c r="AF21" i="9"/>
  <c r="AG79" i="4"/>
  <c r="AD14" i="9" l="1"/>
  <c r="AD16" s="1"/>
  <c r="AD15"/>
  <c r="AD28"/>
  <c r="AE13"/>
  <c r="AF13" s="1"/>
  <c r="AG85" i="4"/>
  <c r="D86" s="1"/>
  <c r="AE27" i="9"/>
  <c r="AE28" s="1"/>
  <c r="AG84" i="7"/>
  <c r="D85" s="1"/>
  <c r="AG12" i="9"/>
  <c r="E6" i="10" s="1"/>
  <c r="E16" s="1"/>
  <c r="AG81" i="7"/>
  <c r="AG82" i="4"/>
  <c r="B7" i="10"/>
  <c r="AF26" i="9"/>
  <c r="AG26"/>
  <c r="E7" i="10" s="1"/>
  <c r="AE22" i="9" l="1"/>
  <c r="AF22" s="1"/>
  <c r="AE8"/>
  <c r="AG8" s="1"/>
  <c r="B38" s="1"/>
  <c r="D30" i="10" s="1"/>
  <c r="AE15" i="9"/>
  <c r="AF27"/>
  <c r="AG13"/>
  <c r="F6" i="10" s="1"/>
  <c r="G6" s="1"/>
  <c r="AE14" i="9"/>
  <c r="AE16" s="1"/>
  <c r="AG27"/>
  <c r="F7" i="10" s="1"/>
  <c r="F17" s="1"/>
  <c r="B42"/>
  <c r="E17"/>
  <c r="E18" s="1"/>
  <c r="B43"/>
  <c r="AF28" i="9"/>
  <c r="AG28"/>
  <c r="B8" i="10"/>
  <c r="B17"/>
  <c r="B44"/>
  <c r="B46"/>
  <c r="E8"/>
  <c r="AG22" i="9" l="1"/>
  <c r="B39" s="1"/>
  <c r="D31" i="10" s="1"/>
  <c r="F8"/>
  <c r="B48" s="1"/>
  <c r="AF8" i="9"/>
  <c r="AF14"/>
  <c r="F16" i="10"/>
  <c r="F18" s="1"/>
  <c r="G7"/>
  <c r="G8" s="1"/>
  <c r="B47"/>
  <c r="AG14" i="9"/>
  <c r="G17" i="10"/>
  <c r="B18"/>
  <c r="G16" l="1"/>
  <c r="H7" i="22" s="1"/>
  <c r="G8"/>
  <c r="H8"/>
  <c r="B23" i="10"/>
  <c r="B22" l="1"/>
  <c r="G18"/>
  <c r="G7" i="22"/>
</calcChain>
</file>

<file path=xl/comments1.xml><?xml version="1.0" encoding="utf-8"?>
<comments xmlns="http://schemas.openxmlformats.org/spreadsheetml/2006/main">
  <authors>
    <author>arahmanulloh</author>
  </authors>
  <commentList>
    <comment ref="D23" authorId="0">
      <text>
        <r>
          <rPr>
            <b/>
            <sz val="8"/>
            <color indexed="81"/>
            <rFont val="Tahoma"/>
            <family val="2"/>
          </rPr>
          <t>arahmanulloh:</t>
        </r>
        <r>
          <rPr>
            <sz val="8"/>
            <color indexed="81"/>
            <rFont val="Tahoma"/>
            <family val="2"/>
          </rPr>
          <t xml:space="preserve">
dibagi 22.karena 22 waktu operasi..?</t>
        </r>
      </text>
    </comment>
    <comment ref="E41" authorId="0">
      <text>
        <r>
          <rPr>
            <b/>
            <sz val="8"/>
            <color indexed="81"/>
            <rFont val="Tahoma"/>
            <family val="2"/>
          </rPr>
          <t>arahmanulloh:</t>
        </r>
        <r>
          <rPr>
            <sz val="8"/>
            <color indexed="81"/>
            <rFont val="Tahoma"/>
            <family val="2"/>
          </rPr>
          <t xml:space="preserve">
sudah dirupiahkan</t>
        </r>
      </text>
    </comment>
    <comment ref="D45" authorId="0">
      <text>
        <r>
          <rPr>
            <b/>
            <sz val="8"/>
            <color indexed="81"/>
            <rFont val="Tahoma"/>
            <family val="2"/>
          </rPr>
          <t>arahmanulloh:</t>
        </r>
        <r>
          <rPr>
            <sz val="8"/>
            <color indexed="81"/>
            <rFont val="Tahoma"/>
            <family val="2"/>
          </rPr>
          <t xml:space="preserve">
Rp/m2</t>
        </r>
      </text>
    </comment>
    <comment ref="D63" authorId="0">
      <text>
        <r>
          <rPr>
            <b/>
            <sz val="8"/>
            <color indexed="81"/>
            <rFont val="Tahoma"/>
            <family val="2"/>
          </rPr>
          <t>arahmanulloh:</t>
        </r>
        <r>
          <rPr>
            <sz val="8"/>
            <color indexed="81"/>
            <rFont val="Tahoma"/>
            <family val="2"/>
          </rPr>
          <t xml:space="preserve">
grading</t>
        </r>
      </text>
    </comment>
    <comment ref="H250" authorId="0">
      <text>
        <r>
          <rPr>
            <b/>
            <sz val="8"/>
            <color indexed="81"/>
            <rFont val="Tahoma"/>
            <family val="2"/>
          </rPr>
          <t>arahmanulloh:</t>
        </r>
        <r>
          <rPr>
            <sz val="8"/>
            <color indexed="81"/>
            <rFont val="Tahoma"/>
            <family val="2"/>
          </rPr>
          <t xml:space="preserve">
 working capital D70 (see I/O table)*jatah tahunan D21</t>
        </r>
      </text>
    </comment>
  </commentList>
</comments>
</file>

<file path=xl/sharedStrings.xml><?xml version="1.0" encoding="utf-8"?>
<sst xmlns="http://schemas.openxmlformats.org/spreadsheetml/2006/main" count="1206" uniqueCount="518">
  <si>
    <t xml:space="preserve"> </t>
  </si>
  <si>
    <t>PBB</t>
  </si>
  <si>
    <t>IWPL</t>
  </si>
  <si>
    <t>Office supplies</t>
  </si>
  <si>
    <t>Heavy machinary</t>
  </si>
  <si>
    <t>Tools</t>
  </si>
  <si>
    <t>Oil</t>
  </si>
  <si>
    <t>Lubricants</t>
  </si>
  <si>
    <t>Surveyor</t>
  </si>
  <si>
    <t>Grader</t>
  </si>
  <si>
    <t>Felling</t>
  </si>
  <si>
    <t>Bucking</t>
  </si>
  <si>
    <t>Skidding</t>
  </si>
  <si>
    <t>Loading/unloading</t>
  </si>
  <si>
    <t>Transporting</t>
  </si>
  <si>
    <t>Workshop</t>
  </si>
  <si>
    <t>TPTI</t>
  </si>
  <si>
    <t>Logpond</t>
  </si>
  <si>
    <t>Base camp</t>
  </si>
  <si>
    <t>Bina Desa</t>
  </si>
  <si>
    <t>Seed Orchard</t>
  </si>
  <si>
    <t>Hedge orchard</t>
  </si>
  <si>
    <t>tree planting on road sides</t>
  </si>
  <si>
    <t>Office</t>
  </si>
  <si>
    <t>Field</t>
  </si>
  <si>
    <t>Permanent plot</t>
  </si>
  <si>
    <t>Tahun kegiatan</t>
  </si>
  <si>
    <t>Luas (Ha)</t>
  </si>
  <si>
    <t>Produksi(m3)</t>
  </si>
  <si>
    <t>I/O Items</t>
  </si>
  <si>
    <t xml:space="preserve">TRADABLE </t>
  </si>
  <si>
    <t>Tradable inputs</t>
  </si>
  <si>
    <t>Fuel</t>
  </si>
  <si>
    <t>Spare parts</t>
  </si>
  <si>
    <t>package</t>
  </si>
  <si>
    <t>Tradable capital</t>
  </si>
  <si>
    <t>package/10 years</t>
  </si>
  <si>
    <t>package/5 years</t>
  </si>
  <si>
    <t>DOMESTIC FACTORS</t>
  </si>
  <si>
    <t>Labors</t>
  </si>
  <si>
    <t>Skilled labor</t>
  </si>
  <si>
    <t>Technical</t>
  </si>
  <si>
    <t>ha</t>
  </si>
  <si>
    <t>m3</t>
  </si>
  <si>
    <t>Unskilled labor</t>
  </si>
  <si>
    <t>Capitals</t>
  </si>
  <si>
    <t>Establishment cost</t>
  </si>
  <si>
    <t>Plan preparation</t>
  </si>
  <si>
    <t>package/year</t>
  </si>
  <si>
    <t>Fees and Taxes</t>
  </si>
  <si>
    <t>Vehicles documents</t>
  </si>
  <si>
    <t>Misc. Expenditures</t>
  </si>
  <si>
    <t>Working capital</t>
  </si>
  <si>
    <t>Rp</t>
  </si>
  <si>
    <t>Forest land</t>
  </si>
  <si>
    <t>Total concession</t>
  </si>
  <si>
    <t>OUTPUT</t>
  </si>
  <si>
    <t>%</t>
  </si>
  <si>
    <t xml:space="preserve">Rp </t>
  </si>
  <si>
    <t>Private</t>
  </si>
  <si>
    <t>Social</t>
  </si>
  <si>
    <t>Tradable input</t>
  </si>
  <si>
    <t>Domestic factors</t>
  </si>
  <si>
    <t>Unskilled</t>
  </si>
  <si>
    <t>Ratios</t>
  </si>
  <si>
    <t>PCR(Private cost ratio)</t>
  </si>
  <si>
    <t>DRC(Domestic resource cost ratio)</t>
  </si>
  <si>
    <t>NPCO</t>
  </si>
  <si>
    <t>NPCI</t>
  </si>
  <si>
    <t>EPC(Effective protection coefficient)</t>
  </si>
  <si>
    <t>PC(profitability coefficient)</t>
  </si>
  <si>
    <t>SRP(Subsidy ratio to producers)</t>
  </si>
  <si>
    <t>Tradable Capital</t>
  </si>
  <si>
    <t>Capital</t>
  </si>
  <si>
    <t>km</t>
  </si>
  <si>
    <t>kg</t>
  </si>
  <si>
    <t>ltr</t>
  </si>
  <si>
    <t>Unit ofmeasurement</t>
  </si>
  <si>
    <t>ps-month</t>
  </si>
  <si>
    <t>Administrative / managerial</t>
  </si>
  <si>
    <t>ha/annum</t>
  </si>
  <si>
    <t>RKD**)</t>
  </si>
  <si>
    <t>RKL**)</t>
  </si>
  <si>
    <t>RKT**)</t>
  </si>
  <si>
    <t>Forested land****)</t>
  </si>
  <si>
    <t>Annual cutting area****)</t>
  </si>
  <si>
    <t>Private price</t>
  </si>
  <si>
    <t>Total</t>
  </si>
  <si>
    <t>Meranti group (96.66%)</t>
  </si>
  <si>
    <t xml:space="preserve">Total </t>
  </si>
  <si>
    <t>Unit</t>
  </si>
  <si>
    <t>Revenue</t>
  </si>
  <si>
    <t>Expenditure</t>
  </si>
  <si>
    <t>Labor</t>
  </si>
  <si>
    <t>Administration/management</t>
  </si>
  <si>
    <t>Skilled technical</t>
  </si>
  <si>
    <t>Profit excluding land</t>
  </si>
  <si>
    <t>Average</t>
  </si>
  <si>
    <t>PRIVATE PRICES</t>
  </si>
  <si>
    <t>Tradable purchased Input</t>
  </si>
  <si>
    <t>SOCIAL PRICES</t>
  </si>
  <si>
    <t>Sum</t>
  </si>
  <si>
    <t>NPV</t>
  </si>
  <si>
    <t>TRADABLE</t>
  </si>
  <si>
    <t>Divergences</t>
  </si>
  <si>
    <t>Labor requirement</t>
  </si>
  <si>
    <t>Total labor requirement</t>
  </si>
  <si>
    <t>Annual labor req. / ha</t>
  </si>
  <si>
    <t>Labor requirement for establishment</t>
  </si>
  <si>
    <t>Labor requirement for establishment/ha</t>
  </si>
  <si>
    <t>Labor requirement for operation</t>
  </si>
  <si>
    <t>Labor requirement for operation/ha</t>
  </si>
  <si>
    <t>Annual cutting area (ha)</t>
  </si>
  <si>
    <t>Total production  (cu-m)</t>
  </si>
  <si>
    <t>year-1</t>
  </si>
  <si>
    <t>year-2</t>
  </si>
  <si>
    <t>year-3</t>
  </si>
  <si>
    <t>year-4</t>
  </si>
  <si>
    <t>year-5</t>
  </si>
  <si>
    <t>year-6</t>
  </si>
  <si>
    <t>year-7</t>
  </si>
  <si>
    <t>year-8</t>
  </si>
  <si>
    <t>year-9</t>
  </si>
  <si>
    <t>year-10</t>
  </si>
  <si>
    <t>year-11</t>
  </si>
  <si>
    <t>year-12</t>
  </si>
  <si>
    <t>year-13</t>
  </si>
  <si>
    <t>year-14</t>
  </si>
  <si>
    <t>year-15</t>
  </si>
  <si>
    <t>year-16</t>
  </si>
  <si>
    <t>year-17</t>
  </si>
  <si>
    <t>year-18</t>
  </si>
  <si>
    <t>year-19</t>
  </si>
  <si>
    <t>year-20</t>
  </si>
  <si>
    <t>year-21</t>
  </si>
  <si>
    <t>year-22</t>
  </si>
  <si>
    <t>year-23</t>
  </si>
  <si>
    <t>year-24</t>
  </si>
  <si>
    <t>year-25</t>
  </si>
  <si>
    <t>Per ha in Rp</t>
  </si>
  <si>
    <t>REVENUES</t>
  </si>
  <si>
    <t>PROFITS</t>
  </si>
  <si>
    <t>Inputs</t>
  </si>
  <si>
    <t>Profit (total)</t>
  </si>
  <si>
    <t>Profit per ha</t>
  </si>
  <si>
    <t>Return to Land (Rp/ha)</t>
  </si>
  <si>
    <t>Year to Positive Cashflow</t>
  </si>
  <si>
    <t>Cost per ha</t>
  </si>
  <si>
    <t>NPV Establishment Cost (Rp/ha)</t>
  </si>
  <si>
    <t>establishment cost</t>
  </si>
  <si>
    <t>private</t>
  </si>
  <si>
    <t>social</t>
  </si>
  <si>
    <t>Yr to positive cashflow</t>
  </si>
  <si>
    <t>AVG</t>
  </si>
  <si>
    <t xml:space="preserve">Price Table </t>
  </si>
  <si>
    <t>Social Price</t>
  </si>
  <si>
    <t>Rp/lt</t>
  </si>
  <si>
    <t>Rp/kg</t>
  </si>
  <si>
    <t>Rp/package</t>
  </si>
  <si>
    <t>Rp/ps-year</t>
  </si>
  <si>
    <t>Rp/ha</t>
  </si>
  <si>
    <t>Rp/m3</t>
  </si>
  <si>
    <t>Rp/month</t>
  </si>
  <si>
    <t>Rp/km</t>
  </si>
  <si>
    <t>Rp/year</t>
  </si>
  <si>
    <t>% of the operation cost</t>
  </si>
  <si>
    <t>Forested land</t>
  </si>
  <si>
    <t>Annual cutting area</t>
  </si>
  <si>
    <t>Rata-rata</t>
  </si>
  <si>
    <t>Non meranti</t>
  </si>
  <si>
    <t>Kelompok meranti</t>
  </si>
  <si>
    <t>% working capital dari jumlah biaya</t>
  </si>
  <si>
    <t>jumlah biaya variable</t>
  </si>
  <si>
    <t>Daftar harga kayu ($)</t>
  </si>
  <si>
    <t>cash:alat per year = 1:3.8</t>
  </si>
  <si>
    <t>Import</t>
  </si>
  <si>
    <t>Alat-alat</t>
  </si>
  <si>
    <t>Cash</t>
  </si>
  <si>
    <t>Investasi:</t>
  </si>
  <si>
    <t>Gorong-gorong</t>
  </si>
  <si>
    <t>Jembatan</t>
  </si>
  <si>
    <t>Dumpingpoint</t>
  </si>
  <si>
    <t>Logyard/Tpk</t>
  </si>
  <si>
    <t>Bangunan-bangunan lain yang dipunyai:</t>
  </si>
  <si>
    <t>Jumlah alat</t>
  </si>
  <si>
    <t>Speed boat</t>
  </si>
  <si>
    <t>Kapal/boat</t>
  </si>
  <si>
    <t>Crane/A Frame</t>
  </si>
  <si>
    <t>Dump truck/truck biasa</t>
  </si>
  <si>
    <t>Trailer</t>
  </si>
  <si>
    <t>log loader</t>
  </si>
  <si>
    <t>Buldozer/traktor</t>
  </si>
  <si>
    <t>Chainsaw</t>
  </si>
  <si>
    <t>Kendaraan angkutan orang</t>
  </si>
  <si>
    <t>Mesin las</t>
  </si>
  <si>
    <t>Mesin bubut</t>
  </si>
  <si>
    <t>Alat-alat kantor</t>
  </si>
  <si>
    <t>Generator</t>
  </si>
  <si>
    <t>Alat komunikasi</t>
  </si>
  <si>
    <t>Perbandingan harga</t>
  </si>
  <si>
    <t>Perbaharui setiap …. Th</t>
  </si>
  <si>
    <t>Jumlah</t>
  </si>
  <si>
    <t>Jenis alat</t>
  </si>
  <si>
    <t>Perincian alat-alat berat dan mesin-mesin</t>
  </si>
  <si>
    <t>Sumbangan&amp;entertainment</t>
  </si>
  <si>
    <t>Lain-lain:</t>
  </si>
  <si>
    <t>Administrasi dll</t>
  </si>
  <si>
    <t>Kantor</t>
  </si>
  <si>
    <t>Jalan &amp; Jembatan</t>
  </si>
  <si>
    <t>Inventaris camp</t>
  </si>
  <si>
    <t>Mesin-2</t>
  </si>
  <si>
    <t>Bangunan</t>
  </si>
  <si>
    <t>Alat berat</t>
  </si>
  <si>
    <t>Pemeliharaan:</t>
  </si>
  <si>
    <t>Lain-lain</t>
  </si>
  <si>
    <t>Kendaraan</t>
  </si>
  <si>
    <t>DJR</t>
  </si>
  <si>
    <t>IHH</t>
  </si>
  <si>
    <t>IHPH</t>
  </si>
  <si>
    <t>Grading fee</t>
  </si>
  <si>
    <t>Fee:</t>
  </si>
  <si>
    <t>Perjalanan</t>
  </si>
  <si>
    <t>Survey</t>
  </si>
  <si>
    <t>Biaya lain-lain:</t>
  </si>
  <si>
    <t>Bahan Bakar/Oli/Pelumas</t>
  </si>
  <si>
    <t>Biaya produksi:</t>
  </si>
  <si>
    <t>Pengobatan</t>
  </si>
  <si>
    <t>Astek</t>
  </si>
  <si>
    <t>Tunjangan</t>
  </si>
  <si>
    <t>Gaji dan upah</t>
  </si>
  <si>
    <t>Biaya tenaga kerja:</t>
  </si>
  <si>
    <t>Biaya-biaya yang dikeluarkan:</t>
  </si>
  <si>
    <t>Realisiasi luas dan produksi</t>
  </si>
  <si>
    <t>Management</t>
  </si>
  <si>
    <t>Road construction</t>
  </si>
  <si>
    <t>unskilled</t>
  </si>
  <si>
    <t>skilled</t>
  </si>
  <si>
    <t>Penyebaran tenaga kerja</t>
  </si>
  <si>
    <t>total</t>
  </si>
  <si>
    <t>Jumlah tenaga kerja</t>
  </si>
  <si>
    <t>Total TPTI</t>
  </si>
  <si>
    <t>Perlindungan &amp; Pengamanan</t>
  </si>
  <si>
    <t>Pembebasan I &amp; II</t>
  </si>
  <si>
    <t>Pemeliharaan tanaman</t>
  </si>
  <si>
    <t>Pengayaan</t>
  </si>
  <si>
    <t>Pengadaan bibit (btg)</t>
  </si>
  <si>
    <t>Pembebasan tahap 1</t>
  </si>
  <si>
    <t>ITT</t>
  </si>
  <si>
    <t>perapihan</t>
  </si>
  <si>
    <t>ITSP (ha)</t>
  </si>
  <si>
    <t>Penataan areal kerja (ha)</t>
  </si>
  <si>
    <t>cost/ha</t>
  </si>
  <si>
    <t>cost</t>
  </si>
  <si>
    <t>Rp/tahun</t>
  </si>
  <si>
    <t>Tamu-tamu</t>
  </si>
  <si>
    <t>Pengurusan surat-2</t>
  </si>
  <si>
    <t>RKT</t>
  </si>
  <si>
    <t>RKL</t>
  </si>
  <si>
    <t>RKD</t>
  </si>
  <si>
    <t>Persiapan kerja</t>
  </si>
  <si>
    <t>Permanent plot(PUP)</t>
  </si>
  <si>
    <t>Wage</t>
  </si>
  <si>
    <t>Fuel,Oil,Lubricants</t>
  </si>
  <si>
    <t>every 5 years</t>
  </si>
  <si>
    <t>every 10 years</t>
  </si>
  <si>
    <t>nilai</t>
  </si>
  <si>
    <t>Uraian</t>
  </si>
  <si>
    <t>Tarif dan Pengeluaran untuk biaya produksi</t>
  </si>
  <si>
    <t>after increase</t>
  </si>
  <si>
    <t>Fees</t>
  </si>
  <si>
    <t>Lapangan</t>
  </si>
  <si>
    <t>Hari kerja</t>
  </si>
  <si>
    <t>Tahun operasi</t>
  </si>
  <si>
    <t>SK HPH</t>
  </si>
  <si>
    <t>SK HPH dan tahun Operasi</t>
  </si>
  <si>
    <t>Luas TPN (ha)</t>
  </si>
  <si>
    <t>Jalan cabang (km)</t>
  </si>
  <si>
    <t>Jalan utama (km)</t>
  </si>
  <si>
    <t>Keadaan prasarana &amp; sarna</t>
  </si>
  <si>
    <t>Luas berhutan (ha)</t>
  </si>
  <si>
    <t>Luas total (Ha)</t>
  </si>
  <si>
    <t>Produksi</t>
  </si>
  <si>
    <t>Pelumas</t>
  </si>
  <si>
    <t>Oli</t>
  </si>
  <si>
    <t>Perincian pengeluaran bahan bakar (liter)</t>
  </si>
  <si>
    <t>PT Dalek</t>
  </si>
  <si>
    <t xml:space="preserve">Social </t>
  </si>
  <si>
    <t>Official exchange rate (Rp/$)</t>
  </si>
  <si>
    <t>Social interest rate (%)</t>
  </si>
  <si>
    <t>Nominal interest rate (%)</t>
  </si>
  <si>
    <t>Import parity value at farm gate (Rp/kg)</t>
  </si>
  <si>
    <t>Distribution costs to farm (Rp/unit)</t>
  </si>
  <si>
    <t>Processing costs (Rp/unit)</t>
  </si>
  <si>
    <t>Import parity value at wholesale (Rp/unit)</t>
  </si>
  <si>
    <t xml:space="preserve">Processing conversion factor </t>
  </si>
  <si>
    <t>Value before processing (Rp/unit)</t>
  </si>
  <si>
    <t>Marketing costs (Rp/unit)</t>
  </si>
  <si>
    <t>Transportation cost (Rp/unit)</t>
  </si>
  <si>
    <t>Tax</t>
  </si>
  <si>
    <t>c.I.f. in dom. currency and weight units (Rp/kg)</t>
  </si>
  <si>
    <t>Equilibrium exchange rate (Rp/$)</t>
  </si>
  <si>
    <t>Exchange rate premium (%)</t>
  </si>
  <si>
    <t>c.I.f. price at Indonesian port ($/ton)</t>
  </si>
  <si>
    <t>Freight and insurance ($/ton)</t>
  </si>
  <si>
    <t>f.o.b. ($/ton)</t>
  </si>
  <si>
    <t>Heavy Machines</t>
  </si>
  <si>
    <t>Spareparts</t>
  </si>
  <si>
    <t>Parity Price</t>
  </si>
  <si>
    <t>Labor wage (Rp/psd)</t>
  </si>
  <si>
    <t>Nama Perusahaan</t>
  </si>
  <si>
    <t>PT Sumalindo Jaya IV</t>
  </si>
  <si>
    <t>Lokasi</t>
  </si>
  <si>
    <t>Berau, East Kalimantan</t>
  </si>
  <si>
    <t>SLJ IV</t>
  </si>
  <si>
    <t>Note</t>
  </si>
  <si>
    <t>ini bukan AAC. Kalo AAC ditentukan oleh pemerintah</t>
  </si>
  <si>
    <t>dalam RKL, SLJ mendapat AAC/JPT sebesar 47.504 m3</t>
  </si>
  <si>
    <t>Bahan bakar (fuel)</t>
  </si>
  <si>
    <t>Produksi (m3)</t>
  </si>
  <si>
    <t>Potensi tahunan</t>
  </si>
  <si>
    <t>Luas jatah tebang tahunan (ha)</t>
  </si>
  <si>
    <t xml:space="preserve">Keadaan Hutan </t>
  </si>
  <si>
    <t>Result</t>
  </si>
  <si>
    <t>Meranti</t>
  </si>
  <si>
    <t>KRC</t>
  </si>
  <si>
    <t>SLJ: panjang jalan selama 5 tahun (RKL III)</t>
  </si>
  <si>
    <t>150/kpts-II/1990</t>
  </si>
  <si>
    <t>ada adendum thn 1992</t>
  </si>
  <si>
    <t>thn 1990</t>
  </si>
  <si>
    <t>asumsi</t>
  </si>
  <si>
    <t>1 kali setiap 20 tahun</t>
  </si>
  <si>
    <t>meranti</t>
  </si>
  <si>
    <t>kayu indah</t>
  </si>
  <si>
    <t>Luas</t>
  </si>
  <si>
    <t>KRC (2.71%)</t>
  </si>
  <si>
    <t>Kayu Indah (0.30%)</t>
  </si>
  <si>
    <t>Note for SLJ IV</t>
  </si>
  <si>
    <t>Unsur pimpinan, administrasi tetap</t>
  </si>
  <si>
    <t>PT SLJ IV</t>
  </si>
  <si>
    <t>Pimpinan</t>
  </si>
  <si>
    <t>Administrasi Tetap</t>
  </si>
  <si>
    <t>Bid Perencanaan</t>
  </si>
  <si>
    <t>Bid Pemungutan Hasil</t>
  </si>
  <si>
    <t>Bid Pemasaran Hasil</t>
  </si>
  <si>
    <t>Bid Pembinaan Hutan</t>
  </si>
  <si>
    <t>Tetap</t>
  </si>
  <si>
    <t>Lepas</t>
  </si>
  <si>
    <t>Bid Perlindungan dan Pengamanan</t>
  </si>
  <si>
    <t>Bid PMDH</t>
  </si>
  <si>
    <t>management</t>
  </si>
  <si>
    <t>Logging</t>
  </si>
  <si>
    <t>P-Budget</t>
  </si>
  <si>
    <t>S-Budget</t>
  </si>
  <si>
    <t>Cashflow</t>
  </si>
  <si>
    <t>Total cutting area</t>
  </si>
  <si>
    <t>Tahunan (m3/year)</t>
  </si>
  <si>
    <r>
      <t xml:space="preserve">DR </t>
    </r>
    <r>
      <rPr>
        <sz val="8"/>
        <rFont val="Calibri"/>
        <family val="2"/>
        <scheme val="minor"/>
      </rPr>
      <t>(Rp/m3)</t>
    </r>
  </si>
  <si>
    <r>
      <t xml:space="preserve">IHPH </t>
    </r>
    <r>
      <rPr>
        <sz val="8"/>
        <rFont val="Calibri"/>
        <family val="2"/>
        <scheme val="minor"/>
      </rPr>
      <t>(Rp/ha)</t>
    </r>
  </si>
  <si>
    <r>
      <t xml:space="preserve">meranti </t>
    </r>
    <r>
      <rPr>
        <sz val="8"/>
        <rFont val="Calibri"/>
        <family val="2"/>
        <scheme val="minor"/>
      </rPr>
      <t>(USD/m3)</t>
    </r>
  </si>
  <si>
    <r>
      <t xml:space="preserve">KRC </t>
    </r>
    <r>
      <rPr>
        <sz val="8"/>
        <rFont val="Calibri"/>
        <family val="2"/>
        <scheme val="minor"/>
      </rPr>
      <t>(USD/m3)</t>
    </r>
  </si>
  <si>
    <r>
      <t>kayu indah</t>
    </r>
    <r>
      <rPr>
        <sz val="8"/>
        <rFont val="Calibri"/>
        <family val="2"/>
        <scheme val="minor"/>
      </rPr>
      <t xml:space="preserve"> (USD/m3)</t>
    </r>
  </si>
  <si>
    <t xml:space="preserve">KRC </t>
  </si>
  <si>
    <r>
      <t>PBB</t>
    </r>
    <r>
      <rPr>
        <sz val="8"/>
        <rFont val="Calibri"/>
        <family val="2"/>
        <scheme val="minor"/>
      </rPr>
      <t xml:space="preserve"> (Rp/ha)</t>
    </r>
  </si>
  <si>
    <r>
      <t>Pajak kendaraan</t>
    </r>
    <r>
      <rPr>
        <sz val="8"/>
        <rFont val="Calibri"/>
        <family val="2"/>
        <scheme val="minor"/>
      </rPr>
      <t xml:space="preserve"> (Rp/tahun)</t>
    </r>
  </si>
  <si>
    <t>Tenaga Teknis IUPHHK</t>
  </si>
  <si>
    <t>Bid Kehutanan</t>
  </si>
  <si>
    <t>Sarjana</t>
  </si>
  <si>
    <t>Sarjana muda/AIK</t>
  </si>
  <si>
    <t>SKMA/KKMA</t>
  </si>
  <si>
    <t>Cruiser</t>
  </si>
  <si>
    <t>Scaller</t>
  </si>
  <si>
    <t>Pembinaan Hutan</t>
  </si>
  <si>
    <t>Pengukuran/Perpetaan</t>
  </si>
  <si>
    <t>Pengamanan Hutan</t>
  </si>
  <si>
    <t>Bid Non Kehutanan</t>
  </si>
  <si>
    <t xml:space="preserve">Sarjana </t>
  </si>
  <si>
    <t>Sarjana muda</t>
  </si>
  <si>
    <t>Diploma tiga</t>
  </si>
  <si>
    <t>Menurut RKT 2009</t>
  </si>
  <si>
    <t>Tenaga Bulanan</t>
  </si>
  <si>
    <t>Tenaga Borongan</t>
  </si>
  <si>
    <t>Perincian</t>
  </si>
  <si>
    <t>Penanaman Areal Kosong</t>
  </si>
  <si>
    <t>Sarjana Kehutanan</t>
  </si>
  <si>
    <t>Sarjaja muda/AIK</t>
  </si>
  <si>
    <t>Tenaga Menengah</t>
  </si>
  <si>
    <t>Pembibitan dan persemaian</t>
  </si>
  <si>
    <t>Permudaan penghutanan</t>
  </si>
  <si>
    <t>Pengukuran dan perpetaan</t>
  </si>
  <si>
    <t>Timber cruising</t>
  </si>
  <si>
    <t>log grader</t>
  </si>
  <si>
    <t>log scaller</t>
  </si>
  <si>
    <t>pengenalan jenis pohon</t>
  </si>
  <si>
    <t>bidang sosek</t>
  </si>
  <si>
    <t>dampak lingkungan</t>
  </si>
  <si>
    <t>plasma nutfah</t>
  </si>
  <si>
    <t>lain-lain/satpam</t>
  </si>
  <si>
    <t>seharusnya</t>
  </si>
  <si>
    <t>aktual</t>
  </si>
  <si>
    <t>Resume</t>
  </si>
  <si>
    <r>
      <t xml:space="preserve">PSDH  for </t>
    </r>
    <r>
      <rPr>
        <i/>
        <sz val="10"/>
        <rFont val="Calibri"/>
        <family val="2"/>
        <scheme val="minor"/>
      </rPr>
      <t xml:space="preserve"> Meranti</t>
    </r>
  </si>
  <si>
    <r>
      <t xml:space="preserve">PSDH  for </t>
    </r>
    <r>
      <rPr>
        <i/>
        <sz val="10"/>
        <rFont val="Calibri"/>
        <family val="2"/>
        <scheme val="minor"/>
      </rPr>
      <t xml:space="preserve"> KRC</t>
    </r>
  </si>
  <si>
    <r>
      <t>PSDH  for</t>
    </r>
    <r>
      <rPr>
        <i/>
        <sz val="10"/>
        <rFont val="Calibri"/>
        <family val="2"/>
        <scheme val="minor"/>
      </rPr>
      <t xml:space="preserve"> Kayu Indah</t>
    </r>
  </si>
  <si>
    <t xml:space="preserve">Road construction </t>
  </si>
  <si>
    <t>Baru</t>
  </si>
  <si>
    <t>Perpanjangan</t>
  </si>
  <si>
    <t>Main road</t>
  </si>
  <si>
    <t>Secondary road</t>
  </si>
  <si>
    <r>
      <t xml:space="preserve">DR  for </t>
    </r>
    <r>
      <rPr>
        <i/>
        <sz val="10"/>
        <rFont val="Calibri"/>
        <family val="2"/>
        <scheme val="minor"/>
      </rPr>
      <t xml:space="preserve"> Meranti</t>
    </r>
  </si>
  <si>
    <r>
      <t xml:space="preserve">DR  for </t>
    </r>
    <r>
      <rPr>
        <i/>
        <sz val="10"/>
        <rFont val="Calibri"/>
        <family val="2"/>
        <scheme val="minor"/>
      </rPr>
      <t xml:space="preserve"> KRC</t>
    </r>
  </si>
  <si>
    <r>
      <t>DR  for</t>
    </r>
    <r>
      <rPr>
        <i/>
        <sz val="10"/>
        <rFont val="Calibri"/>
        <family val="2"/>
        <scheme val="minor"/>
      </rPr>
      <t xml:space="preserve"> Kayu Indah</t>
    </r>
  </si>
  <si>
    <t>thn 1974</t>
  </si>
  <si>
    <t>spare parts (Rp/year)</t>
  </si>
  <si>
    <t>Office supplies (Rp/year)</t>
  </si>
  <si>
    <t>Heavy machinary (Rp/unit time)</t>
  </si>
  <si>
    <t>Tools (Rp/unit time)</t>
  </si>
  <si>
    <t>Bahan bakar (Rp/lt)</t>
  </si>
  <si>
    <t>Oil (Rp/lt)</t>
  </si>
  <si>
    <t>Lubricants (Rp/kg)</t>
  </si>
  <si>
    <t>Surveyor (Rp/ha)</t>
  </si>
  <si>
    <t>Road construction  (Rp/km)</t>
  </si>
  <si>
    <t>Workshop  (Rp/month)</t>
  </si>
  <si>
    <t>TPTI  (Rp/ha)</t>
  </si>
  <si>
    <t>Logpond  (Rp/m3)</t>
  </si>
  <si>
    <t>Tehnisi kantor  (Rp/month)</t>
  </si>
  <si>
    <t>Tehnisi lapangan (Rp/month)</t>
  </si>
  <si>
    <t>Management  (Rp/month)</t>
  </si>
  <si>
    <t>Base camp  (Rp/month)</t>
  </si>
  <si>
    <t>Felling &amp; Bucking</t>
  </si>
  <si>
    <r>
      <t xml:space="preserve">Felling  &amp; Bucking </t>
    </r>
    <r>
      <rPr>
        <sz val="8"/>
        <rFont val="Calibri"/>
        <family val="2"/>
        <scheme val="minor"/>
      </rPr>
      <t>(Rp/m3)</t>
    </r>
  </si>
  <si>
    <r>
      <t xml:space="preserve">Skidding </t>
    </r>
    <r>
      <rPr>
        <sz val="8"/>
        <rFont val="Calibri"/>
        <family val="2"/>
        <scheme val="minor"/>
      </rPr>
      <t xml:space="preserve"> (Rp/m3)</t>
    </r>
  </si>
  <si>
    <t>without machinery and its amortization</t>
  </si>
  <si>
    <t>2 orang staff</t>
  </si>
  <si>
    <r>
      <t xml:space="preserve">Bina Desa  </t>
    </r>
    <r>
      <rPr>
        <sz val="8"/>
        <rFont val="Calibri"/>
        <family val="2"/>
        <scheme val="minor"/>
      </rPr>
      <t>(Rp/ps-day)</t>
    </r>
  </si>
  <si>
    <t>Rp/ps-month</t>
  </si>
  <si>
    <t>Bina desa</t>
  </si>
  <si>
    <t>satpam,tukang masak dll</t>
  </si>
  <si>
    <t>bulanan/unskilled</t>
  </si>
  <si>
    <t>Scalling and grading</t>
  </si>
  <si>
    <t>Scalling and debarking</t>
  </si>
  <si>
    <r>
      <t xml:space="preserve">Scalling and debarking </t>
    </r>
    <r>
      <rPr>
        <sz val="8"/>
        <rFont val="Calibri"/>
        <family val="2"/>
        <scheme val="minor"/>
      </rPr>
      <t>(Rp/m3)</t>
    </r>
  </si>
  <si>
    <t>Hauling (Rp/m3)</t>
  </si>
  <si>
    <t>Hauling</t>
  </si>
  <si>
    <t>mekanik</t>
  </si>
  <si>
    <t>Tree planting on unproductive lands</t>
  </si>
  <si>
    <t>Pembibitan</t>
  </si>
  <si>
    <t>Rehabilitasi</t>
  </si>
  <si>
    <t>IO Table All Activities</t>
  </si>
  <si>
    <t>package/20yr</t>
  </si>
  <si>
    <t>package/5yr</t>
  </si>
  <si>
    <t>package/1yr</t>
  </si>
  <si>
    <t>Aerial Photograph and Interpretation</t>
  </si>
  <si>
    <t>Landsat Imagery and Interpretation</t>
  </si>
  <si>
    <t>Border Mark Maintenance</t>
  </si>
  <si>
    <t xml:space="preserve">AMDAL </t>
  </si>
  <si>
    <r>
      <t xml:space="preserve">Grading </t>
    </r>
    <r>
      <rPr>
        <sz val="8"/>
        <color theme="0" tint="-0.34998626667073579"/>
        <rFont val="Calibri"/>
        <family val="2"/>
        <scheme val="minor"/>
      </rPr>
      <t>(Rp/m3)</t>
    </r>
  </si>
  <si>
    <r>
      <t xml:space="preserve">IWPL </t>
    </r>
    <r>
      <rPr>
        <sz val="8"/>
        <color theme="0" tint="-0.34998626667073579"/>
        <rFont val="Calibri"/>
        <family val="2"/>
        <scheme val="minor"/>
      </rPr>
      <t>(Rp/m3)</t>
    </r>
  </si>
  <si>
    <r>
      <t xml:space="preserve">iuran organisasi </t>
    </r>
    <r>
      <rPr>
        <sz val="8"/>
        <color theme="0" tint="-0.34998626667073579"/>
        <rFont val="Calibri"/>
        <family val="2"/>
        <scheme val="minor"/>
      </rPr>
      <t>(Rp/ha)</t>
    </r>
  </si>
  <si>
    <t>Road and bridge</t>
  </si>
  <si>
    <t>Tata Batas</t>
  </si>
  <si>
    <t>lt/m3</t>
  </si>
  <si>
    <t>konsumsi BBM per m3 (PT dalek)</t>
  </si>
  <si>
    <t>kg/m3</t>
  </si>
  <si>
    <t>Heavy machine</t>
  </si>
  <si>
    <t>Bulldozer</t>
  </si>
  <si>
    <t>Motorgrader</t>
  </si>
  <si>
    <t>Wheelloader</t>
  </si>
  <si>
    <t>Excavator</t>
  </si>
  <si>
    <t>logging truck</t>
  </si>
  <si>
    <t>dump truck</t>
  </si>
  <si>
    <t>jeep</t>
  </si>
  <si>
    <t>tipe</t>
  </si>
  <si>
    <t>jumlah</t>
  </si>
  <si>
    <t>Grease</t>
  </si>
  <si>
    <t xml:space="preserve">Labor Requirement </t>
  </si>
  <si>
    <t>Establishment (psday/ha)</t>
  </si>
  <si>
    <t>Operation (psday/ha/yr)</t>
  </si>
  <si>
    <t>Total (psday/ha/yr)</t>
  </si>
  <si>
    <t>BCR</t>
  </si>
  <si>
    <t>IRR</t>
  </si>
  <si>
    <t>Total cost</t>
  </si>
  <si>
    <t>Assumptions</t>
  </si>
  <si>
    <t>Meranti price (Rp/cum)</t>
  </si>
  <si>
    <t>Return to Land</t>
  </si>
  <si>
    <t xml:space="preserve">Return to Labor </t>
  </si>
  <si>
    <t>Skenario produksi</t>
  </si>
  <si>
    <t xml:space="preserve"> 000 Rp/ha</t>
  </si>
  <si>
    <t>USD/ha</t>
  </si>
  <si>
    <r>
      <t xml:space="preserve">PSDH </t>
    </r>
    <r>
      <rPr>
        <sz val="8"/>
        <rFont val="Calibri"/>
        <family val="2"/>
        <scheme val="minor"/>
      </rPr>
      <t>(Rp/m3)</t>
    </r>
  </si>
  <si>
    <t xml:space="preserve">International timber price: Malaysia log prices (Commodity price data, WB) </t>
  </si>
  <si>
    <t>Average annual cutting: 1500ha</t>
  </si>
  <si>
    <t>year-26</t>
  </si>
  <si>
    <t>year-27</t>
  </si>
  <si>
    <t>year-28</t>
  </si>
  <si>
    <t>year-29</t>
  </si>
  <si>
    <t>year-30</t>
  </si>
  <si>
    <t>Labor cost</t>
  </si>
  <si>
    <t>Total Labor cost</t>
  </si>
  <si>
    <t>Non Labor cost</t>
  </si>
  <si>
    <t>Total Labor</t>
  </si>
  <si>
    <t>Rp/psday</t>
  </si>
  <si>
    <t>USD/ps-day</t>
  </si>
  <si>
    <t>Domestic</t>
  </si>
  <si>
    <t>International</t>
  </si>
  <si>
    <t>NFI data (2002)</t>
  </si>
  <si>
    <t>:  http://www.dephut.go.id/informasi/statistik/Stat2002/Baplan/Iv3502.pdf</t>
  </si>
  <si>
    <t>Commercial standing stock</t>
  </si>
  <si>
    <t>Timber extracted</t>
  </si>
  <si>
    <t>Timber Compotition</t>
  </si>
  <si>
    <t>Based on 30 years estimation using Gorontalo wage rate at 2010 price</t>
  </si>
  <si>
    <t>Papua</t>
  </si>
  <si>
    <t>Commercial standing stock: 18 m3/ha</t>
  </si>
  <si>
    <t>source: http://groups.yahoo.com/group/rimbawan-interaktif/message/6847</t>
  </si>
  <si>
    <t>Source APHI:</t>
  </si>
  <si>
    <t>http://groups.yahoo.com/group/rimbawan-interaktif/message/6847</t>
  </si>
  <si>
    <t>Potensi tegakan papua</t>
  </si>
  <si>
    <t>Extraction rate</t>
  </si>
  <si>
    <t>Domestic price refers to Indonesia log price (domestic), sawlogs (Meranti) as in TTM ITTO report  (nov 2013 USD 235-260, avr = USD 247,5)</t>
  </si>
</sst>
</file>

<file path=xl/styles.xml><?xml version="1.0" encoding="utf-8"?>
<styleSheet xmlns="http://schemas.openxmlformats.org/spreadsheetml/2006/main">
  <numFmts count="6">
    <numFmt numFmtId="43" formatCode="_(* #,##0.00_);_(* \(#,##0.00\);_(* &quot;-&quot;??_);_(@_)"/>
    <numFmt numFmtId="164" formatCode="0.000"/>
    <numFmt numFmtId="165" formatCode="#,##0.0000"/>
    <numFmt numFmtId="166" formatCode="_(* #,##0_);_(* \(#,##0\);_(* &quot;-&quot;??_);_(@_)"/>
    <numFmt numFmtId="167" formatCode="0_);[Red]\(0\)"/>
    <numFmt numFmtId="168" formatCode="0.0%"/>
  </numFmts>
  <fonts count="74">
    <font>
      <sz val="10"/>
      <name val="Arial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i/>
      <sz val="10"/>
      <color indexed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2"/>
      <name val="Calibri"/>
      <family val="2"/>
      <scheme val="minor"/>
    </font>
    <font>
      <i/>
      <sz val="8"/>
      <name val="Calibri"/>
      <family val="2"/>
      <scheme val="minor"/>
    </font>
    <font>
      <i/>
      <sz val="10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indexed="12"/>
      <name val="Calibri"/>
      <family val="2"/>
      <scheme val="minor"/>
    </font>
    <font>
      <u/>
      <sz val="8"/>
      <name val="Calibri"/>
      <family val="2"/>
      <scheme val="minor"/>
    </font>
    <font>
      <u/>
      <sz val="12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53"/>
      <name val="Calibri"/>
      <family val="2"/>
      <scheme val="minor"/>
    </font>
    <font>
      <i/>
      <u/>
      <sz val="1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i/>
      <u/>
      <sz val="10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theme="1"/>
      <name val="Arial"/>
      <family val="2"/>
    </font>
    <font>
      <b/>
      <i/>
      <sz val="10"/>
      <name val="Calibri"/>
      <family val="2"/>
      <scheme val="minor"/>
    </font>
    <font>
      <sz val="8"/>
      <color indexed="10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8"/>
      <name val="Segoe UI"/>
      <family val="2"/>
    </font>
    <font>
      <b/>
      <sz val="14"/>
      <name val="Segoe UI"/>
      <family val="2"/>
    </font>
    <font>
      <sz val="11"/>
      <name val="Segoe UI"/>
      <family val="2"/>
    </font>
    <font>
      <i/>
      <sz val="9"/>
      <name val="Segoe UI"/>
      <family val="2"/>
    </font>
    <font>
      <b/>
      <sz val="11"/>
      <name val="Segoe UI"/>
      <family val="2"/>
    </font>
    <font>
      <i/>
      <sz val="11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b/>
      <i/>
      <sz val="9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sz val="10"/>
      <color theme="1"/>
      <name val="Segoe UI"/>
      <family val="2"/>
    </font>
    <font>
      <u/>
      <sz val="10"/>
      <color theme="10"/>
      <name val="Arial"/>
      <family val="2"/>
    </font>
    <font>
      <u/>
      <sz val="10"/>
      <color theme="1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72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</cellStyleXfs>
  <cellXfs count="451">
    <xf numFmtId="0" fontId="0" fillId="0" borderId="0" xfId="0"/>
    <xf numFmtId="0" fontId="2" fillId="0" borderId="1" xfId="0" applyFont="1" applyBorder="1"/>
    <xf numFmtId="3" fontId="2" fillId="0" borderId="1" xfId="0" applyNumberFormat="1" applyFont="1" applyBorder="1"/>
    <xf numFmtId="4" fontId="7" fillId="0" borderId="1" xfId="0" applyNumberFormat="1" applyFont="1" applyBorder="1"/>
    <xf numFmtId="3" fontId="5" fillId="0" borderId="0" xfId="0" applyNumberFormat="1" applyFont="1"/>
    <xf numFmtId="0" fontId="8" fillId="0" borderId="0" xfId="0" applyFont="1"/>
    <xf numFmtId="0" fontId="2" fillId="0" borderId="17" xfId="0" applyFont="1" applyBorder="1" applyAlignment="1">
      <alignment horizontal="center"/>
    </xf>
    <xf numFmtId="3" fontId="2" fillId="0" borderId="7" xfId="0" applyNumberFormat="1" applyFont="1" applyBorder="1"/>
    <xf numFmtId="0" fontId="0" fillId="0" borderId="0" xfId="0" applyBorder="1"/>
    <xf numFmtId="3" fontId="2" fillId="0" borderId="3" xfId="0" applyNumberFormat="1" applyFont="1" applyBorder="1"/>
    <xf numFmtId="0" fontId="7" fillId="0" borderId="5" xfId="0" applyFont="1" applyBorder="1" applyAlignment="1">
      <alignment horizontal="right"/>
    </xf>
    <xf numFmtId="4" fontId="7" fillId="0" borderId="0" xfId="0" applyNumberFormat="1" applyFont="1"/>
    <xf numFmtId="4" fontId="7" fillId="0" borderId="5" xfId="0" applyNumberFormat="1" applyFont="1" applyBorder="1" applyAlignment="1">
      <alignment horizontal="right"/>
    </xf>
    <xf numFmtId="2" fontId="2" fillId="0" borderId="0" xfId="0" applyNumberFormat="1" applyFont="1"/>
    <xf numFmtId="3" fontId="4" fillId="0" borderId="19" xfId="0" applyNumberFormat="1" applyFont="1" applyBorder="1"/>
    <xf numFmtId="38" fontId="9" fillId="0" borderId="0" xfId="0" applyNumberFormat="1" applyFo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3" fontId="2" fillId="0" borderId="4" xfId="0" applyNumberFormat="1" applyFont="1" applyBorder="1"/>
    <xf numFmtId="3" fontId="2" fillId="0" borderId="28" xfId="0" applyNumberFormat="1" applyFont="1" applyBorder="1"/>
    <xf numFmtId="3" fontId="2" fillId="0" borderId="19" xfId="0" applyNumberFormat="1" applyFont="1" applyBorder="1"/>
    <xf numFmtId="3" fontId="0" fillId="0" borderId="0" xfId="0" applyNumberFormat="1"/>
    <xf numFmtId="0" fontId="0" fillId="0" borderId="0" xfId="0" applyAlignment="1">
      <alignment horizontal="left" indent="1"/>
    </xf>
    <xf numFmtId="0" fontId="2" fillId="0" borderId="0" xfId="3" applyFont="1"/>
    <xf numFmtId="0" fontId="1" fillId="0" borderId="0" xfId="3"/>
    <xf numFmtId="3" fontId="2" fillId="0" borderId="0" xfId="3" applyNumberFormat="1" applyFont="1"/>
    <xf numFmtId="3" fontId="3" fillId="0" borderId="0" xfId="3" applyNumberFormat="1" applyFont="1"/>
    <xf numFmtId="3" fontId="2" fillId="0" borderId="0" xfId="2" applyNumberFormat="1" applyFont="1"/>
    <xf numFmtId="9" fontId="2" fillId="0" borderId="0" xfId="3" applyNumberFormat="1" applyFont="1"/>
    <xf numFmtId="4" fontId="2" fillId="0" borderId="0" xfId="3" applyNumberFormat="1" applyFont="1"/>
    <xf numFmtId="0" fontId="10" fillId="0" borderId="0" xfId="3" applyFont="1" applyAlignment="1">
      <alignment horizontal="center"/>
    </xf>
    <xf numFmtId="0" fontId="13" fillId="0" borderId="0" xfId="3" applyFont="1" applyAlignment="1">
      <alignment horizontal="center"/>
    </xf>
    <xf numFmtId="0" fontId="6" fillId="0" borderId="0" xfId="3" applyFont="1"/>
    <xf numFmtId="0" fontId="14" fillId="0" borderId="0" xfId="3" applyFont="1"/>
    <xf numFmtId="0" fontId="15" fillId="0" borderId="0" xfId="3" applyFont="1"/>
    <xf numFmtId="0" fontId="16" fillId="0" borderId="0" xfId="3" applyFont="1"/>
    <xf numFmtId="0" fontId="16" fillId="0" borderId="0" xfId="3" applyFont="1" applyAlignment="1">
      <alignment horizontal="left"/>
    </xf>
    <xf numFmtId="3" fontId="14" fillId="0" borderId="0" xfId="3" applyNumberFormat="1" applyFont="1"/>
    <xf numFmtId="3" fontId="18" fillId="0" borderId="0" xfId="3" applyNumberFormat="1" applyFont="1"/>
    <xf numFmtId="3" fontId="19" fillId="0" borderId="0" xfId="3" applyNumberFormat="1" applyFont="1"/>
    <xf numFmtId="3" fontId="20" fillId="0" borderId="0" xfId="3" applyNumberFormat="1" applyFont="1"/>
    <xf numFmtId="43" fontId="14" fillId="0" borderId="0" xfId="3" applyNumberFormat="1" applyFont="1"/>
    <xf numFmtId="0" fontId="14" fillId="0" borderId="0" xfId="3" applyFont="1" applyAlignment="1">
      <alignment horizontal="left" indent="1"/>
    </xf>
    <xf numFmtId="0" fontId="14" fillId="3" borderId="8" xfId="3" applyFont="1" applyFill="1" applyBorder="1" applyAlignment="1">
      <alignment horizontal="center"/>
    </xf>
    <xf numFmtId="0" fontId="14" fillId="0" borderId="0" xfId="3" applyFont="1" applyFill="1" applyBorder="1"/>
    <xf numFmtId="3" fontId="23" fillId="0" borderId="0" xfId="3" applyNumberFormat="1" applyFont="1" applyFill="1" applyBorder="1" applyAlignment="1">
      <alignment horizontal="left"/>
    </xf>
    <xf numFmtId="3" fontId="21" fillId="0" borderId="41" xfId="3" applyNumberFormat="1" applyFont="1" applyBorder="1"/>
    <xf numFmtId="3" fontId="21" fillId="0" borderId="40" xfId="3" applyNumberFormat="1" applyFont="1" applyBorder="1"/>
    <xf numFmtId="3" fontId="22" fillId="0" borderId="40" xfId="3" applyNumberFormat="1" applyFont="1" applyFill="1" applyBorder="1"/>
    <xf numFmtId="3" fontId="21" fillId="0" borderId="40" xfId="3" applyNumberFormat="1" applyFont="1" applyFill="1" applyBorder="1" applyAlignment="1">
      <alignment horizontal="center"/>
    </xf>
    <xf numFmtId="0" fontId="21" fillId="0" borderId="40" xfId="3" applyFont="1" applyFill="1" applyBorder="1" applyAlignment="1">
      <alignment horizontal="center"/>
    </xf>
    <xf numFmtId="3" fontId="24" fillId="0" borderId="40" xfId="3" applyNumberFormat="1" applyFont="1" applyBorder="1"/>
    <xf numFmtId="3" fontId="21" fillId="0" borderId="40" xfId="2" applyNumberFormat="1" applyFont="1" applyBorder="1"/>
    <xf numFmtId="9" fontId="24" fillId="0" borderId="40" xfId="2" applyFont="1" applyBorder="1"/>
    <xf numFmtId="3" fontId="21" fillId="0" borderId="40" xfId="3" applyNumberFormat="1" applyFont="1" applyBorder="1" applyAlignment="1">
      <alignment horizontal="center"/>
    </xf>
    <xf numFmtId="3" fontId="22" fillId="0" borderId="40" xfId="3" applyNumberFormat="1" applyFont="1" applyBorder="1"/>
    <xf numFmtId="3" fontId="1" fillId="0" borderId="0" xfId="3" applyNumberFormat="1"/>
    <xf numFmtId="3" fontId="14" fillId="2" borderId="27" xfId="3" applyNumberFormat="1" applyFont="1" applyFill="1" applyBorder="1"/>
    <xf numFmtId="0" fontId="14" fillId="2" borderId="27" xfId="3" applyFont="1" applyFill="1" applyBorder="1" applyAlignment="1">
      <alignment horizontal="center"/>
    </xf>
    <xf numFmtId="3" fontId="21" fillId="2" borderId="27" xfId="3" applyNumberFormat="1" applyFont="1" applyFill="1" applyBorder="1"/>
    <xf numFmtId="0" fontId="14" fillId="2" borderId="27" xfId="3" applyFont="1" applyFill="1" applyBorder="1"/>
    <xf numFmtId="166" fontId="14" fillId="2" borderId="27" xfId="1" applyNumberFormat="1" applyFont="1" applyFill="1" applyBorder="1"/>
    <xf numFmtId="9" fontId="14" fillId="2" borderId="27" xfId="2" applyFont="1" applyFill="1" applyBorder="1"/>
    <xf numFmtId="165" fontId="14" fillId="2" borderId="27" xfId="3" applyNumberFormat="1" applyFont="1" applyFill="1" applyBorder="1"/>
    <xf numFmtId="3" fontId="14" fillId="2" borderId="27" xfId="3" applyNumberFormat="1" applyFont="1" applyFill="1" applyBorder="1" applyAlignment="1">
      <alignment horizontal="center"/>
    </xf>
    <xf numFmtId="3" fontId="25" fillId="2" borderId="11" xfId="3" applyNumberFormat="1" applyFont="1" applyFill="1" applyBorder="1"/>
    <xf numFmtId="3" fontId="25" fillId="2" borderId="27" xfId="3" applyNumberFormat="1" applyFont="1" applyFill="1" applyBorder="1"/>
    <xf numFmtId="0" fontId="1" fillId="0" borderId="0" xfId="0" applyFont="1"/>
    <xf numFmtId="0" fontId="1" fillId="0" borderId="0" xfId="0" applyFont="1" applyBorder="1"/>
    <xf numFmtId="0" fontId="1" fillId="0" borderId="8" xfId="0" applyFont="1" applyBorder="1"/>
    <xf numFmtId="0" fontId="0" fillId="0" borderId="8" xfId="0" applyBorder="1"/>
    <xf numFmtId="0" fontId="27" fillId="0" borderId="0" xfId="3" applyFont="1"/>
    <xf numFmtId="0" fontId="29" fillId="0" borderId="0" xfId="3" applyFont="1"/>
    <xf numFmtId="0" fontId="29" fillId="0" borderId="0" xfId="3" applyFont="1" applyAlignment="1">
      <alignment horizontal="center"/>
    </xf>
    <xf numFmtId="0" fontId="30" fillId="0" borderId="0" xfId="3" applyFont="1"/>
    <xf numFmtId="0" fontId="31" fillId="0" borderId="0" xfId="3" applyFont="1" applyAlignment="1">
      <alignment horizontal="left"/>
    </xf>
    <xf numFmtId="0" fontId="29" fillId="0" borderId="0" xfId="3" applyFont="1" applyBorder="1"/>
    <xf numFmtId="0" fontId="31" fillId="0" borderId="0" xfId="3" applyFont="1"/>
    <xf numFmtId="0" fontId="16" fillId="0" borderId="26" xfId="3" applyFont="1" applyBorder="1" applyAlignment="1">
      <alignment horizontal="center" vertical="center"/>
    </xf>
    <xf numFmtId="0" fontId="32" fillId="0" borderId="25" xfId="3" applyFont="1" applyBorder="1" applyAlignment="1">
      <alignment horizontal="left"/>
    </xf>
    <xf numFmtId="0" fontId="29" fillId="0" borderId="16" xfId="3" applyFont="1" applyBorder="1"/>
    <xf numFmtId="0" fontId="29" fillId="0" borderId="17" xfId="3" applyFont="1" applyBorder="1" applyAlignment="1">
      <alignment horizontal="center"/>
    </xf>
    <xf numFmtId="0" fontId="33" fillId="0" borderId="38" xfId="3" applyFont="1" applyBorder="1" applyAlignment="1">
      <alignment horizontal="left"/>
    </xf>
    <xf numFmtId="0" fontId="34" fillId="0" borderId="5" xfId="3" applyFont="1" applyBorder="1"/>
    <xf numFmtId="0" fontId="29" fillId="0" borderId="1" xfId="3" applyFont="1" applyBorder="1" applyAlignment="1">
      <alignment horizontal="center"/>
    </xf>
    <xf numFmtId="0" fontId="29" fillId="0" borderId="2" xfId="3" applyFont="1" applyBorder="1" applyAlignment="1">
      <alignment horizontal="left"/>
    </xf>
    <xf numFmtId="0" fontId="29" fillId="0" borderId="5" xfId="3" applyFont="1" applyBorder="1"/>
    <xf numFmtId="0" fontId="34" fillId="0" borderId="5" xfId="3" applyFont="1" applyBorder="1" applyAlignment="1">
      <alignment horizontal="right"/>
    </xf>
    <xf numFmtId="0" fontId="33" fillId="0" borderId="39" xfId="3" applyFont="1" applyBorder="1" applyAlignment="1">
      <alignment horizontal="left"/>
    </xf>
    <xf numFmtId="0" fontId="32" fillId="0" borderId="30" xfId="3" applyFont="1" applyBorder="1" applyAlignment="1">
      <alignment horizontal="left"/>
    </xf>
    <xf numFmtId="0" fontId="26" fillId="0" borderId="5" xfId="3" applyFont="1" applyBorder="1"/>
    <xf numFmtId="0" fontId="33" fillId="0" borderId="2" xfId="3" applyFont="1" applyBorder="1" applyAlignment="1">
      <alignment horizontal="left"/>
    </xf>
    <xf numFmtId="4" fontId="29" fillId="0" borderId="5" xfId="3" applyNumberFormat="1" applyFont="1" applyBorder="1"/>
    <xf numFmtId="4" fontId="29" fillId="0" borderId="1" xfId="3" applyNumberFormat="1" applyFont="1" applyBorder="1" applyAlignment="1">
      <alignment horizontal="center"/>
    </xf>
    <xf numFmtId="0" fontId="29" fillId="0" borderId="0" xfId="3" applyFont="1" applyAlignment="1">
      <alignment horizontal="right"/>
    </xf>
    <xf numFmtId="0" fontId="29" fillId="0" borderId="0" xfId="3" applyFont="1" applyBorder="1" applyAlignment="1">
      <alignment horizontal="right"/>
    </xf>
    <xf numFmtId="0" fontId="29" fillId="0" borderId="0" xfId="3" applyFont="1" applyAlignment="1">
      <alignment horizontal="left"/>
    </xf>
    <xf numFmtId="0" fontId="30" fillId="0" borderId="0" xfId="0" applyFont="1"/>
    <xf numFmtId="3" fontId="29" fillId="0" borderId="0" xfId="0" applyNumberFormat="1" applyFont="1"/>
    <xf numFmtId="0" fontId="29" fillId="0" borderId="0" xfId="0" applyFont="1"/>
    <xf numFmtId="3" fontId="29" fillId="0" borderId="1" xfId="0" applyNumberFormat="1" applyFont="1" applyBorder="1"/>
    <xf numFmtId="0" fontId="28" fillId="0" borderId="0" xfId="0" applyFont="1"/>
    <xf numFmtId="0" fontId="14" fillId="0" borderId="0" xfId="3" applyFont="1" applyAlignment="1">
      <alignment horizontal="left" indent="2"/>
    </xf>
    <xf numFmtId="166" fontId="30" fillId="2" borderId="27" xfId="1" applyNumberFormat="1" applyFont="1" applyFill="1" applyBorder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0" fontId="2" fillId="0" borderId="0" xfId="0" applyFont="1" applyBorder="1"/>
    <xf numFmtId="0" fontId="10" fillId="2" borderId="8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6" fillId="0" borderId="0" xfId="3" applyFont="1" applyAlignment="1">
      <alignment horizontal="center"/>
    </xf>
    <xf numFmtId="0" fontId="16" fillId="0" borderId="0" xfId="3" applyFont="1" applyBorder="1"/>
    <xf numFmtId="0" fontId="16" fillId="0" borderId="26" xfId="3" applyFont="1" applyBorder="1" applyAlignment="1">
      <alignment horizontal="centerContinuous" vertical="center"/>
    </xf>
    <xf numFmtId="0" fontId="16" fillId="0" borderId="37" xfId="3" applyFont="1" applyBorder="1" applyAlignment="1">
      <alignment horizontal="center" vertical="center"/>
    </xf>
    <xf numFmtId="0" fontId="16" fillId="0" borderId="17" xfId="3" applyFont="1" applyBorder="1" applyAlignment="1">
      <alignment horizontal="centerContinuous" vertical="center"/>
    </xf>
    <xf numFmtId="0" fontId="16" fillId="0" borderId="18" xfId="3" applyFont="1" applyBorder="1"/>
    <xf numFmtId="166" fontId="16" fillId="0" borderId="1" xfId="1" applyNumberFormat="1" applyFont="1" applyBorder="1"/>
    <xf numFmtId="0" fontId="16" fillId="0" borderId="7" xfId="3" applyFont="1" applyBorder="1"/>
    <xf numFmtId="3" fontId="36" fillId="0" borderId="7" xfId="3" applyNumberFormat="1" applyFont="1" applyBorder="1"/>
    <xf numFmtId="3" fontId="37" fillId="0" borderId="1" xfId="3" applyNumberFormat="1" applyFont="1" applyBorder="1"/>
    <xf numFmtId="3" fontId="37" fillId="0" borderId="7" xfId="3" applyNumberFormat="1" applyFont="1" applyBorder="1"/>
    <xf numFmtId="0" fontId="16" fillId="0" borderId="1" xfId="3" applyFont="1" applyBorder="1" applyAlignment="1">
      <alignment horizontal="center"/>
    </xf>
    <xf numFmtId="3" fontId="16" fillId="0" borderId="1" xfId="3" applyNumberFormat="1" applyFont="1" applyBorder="1"/>
    <xf numFmtId="3" fontId="38" fillId="0" borderId="1" xfId="3" applyNumberFormat="1" applyFont="1" applyBorder="1"/>
    <xf numFmtId="0" fontId="38" fillId="0" borderId="7" xfId="3" applyFont="1" applyBorder="1"/>
    <xf numFmtId="0" fontId="38" fillId="0" borderId="1" xfId="3" applyFont="1" applyBorder="1" applyAlignment="1">
      <alignment horizontal="center"/>
    </xf>
    <xf numFmtId="3" fontId="38" fillId="0" borderId="7" xfId="3" applyNumberFormat="1" applyFont="1" applyBorder="1"/>
    <xf numFmtId="0" fontId="37" fillId="0" borderId="7" xfId="3" applyFont="1" applyBorder="1"/>
    <xf numFmtId="9" fontId="37" fillId="0" borderId="1" xfId="2" applyFont="1" applyBorder="1"/>
    <xf numFmtId="9" fontId="37" fillId="0" borderId="7" xfId="3" applyNumberFormat="1" applyFont="1" applyBorder="1"/>
    <xf numFmtId="3" fontId="16" fillId="0" borderId="0" xfId="3" applyNumberFormat="1" applyFont="1" applyBorder="1"/>
    <xf numFmtId="0" fontId="16" fillId="0" borderId="0" xfId="3" applyFont="1" applyBorder="1" applyAlignment="1">
      <alignment horizontal="center"/>
    </xf>
    <xf numFmtId="0" fontId="30" fillId="0" borderId="5" xfId="3" applyFont="1" applyBorder="1" applyAlignment="1">
      <alignment horizontal="left"/>
    </xf>
    <xf numFmtId="0" fontId="30" fillId="0" borderId="5" xfId="3" applyFont="1" applyBorder="1" applyAlignment="1">
      <alignment horizontal="left" indent="1"/>
    </xf>
    <xf numFmtId="0" fontId="31" fillId="0" borderId="5" xfId="3" applyFont="1" applyBorder="1"/>
    <xf numFmtId="0" fontId="30" fillId="0" borderId="5" xfId="3" applyFont="1" applyBorder="1"/>
    <xf numFmtId="1" fontId="30" fillId="0" borderId="5" xfId="3" applyNumberFormat="1" applyFont="1" applyBorder="1"/>
    <xf numFmtId="0" fontId="30" fillId="0" borderId="12" xfId="3" applyFont="1" applyBorder="1" applyAlignment="1">
      <alignment horizontal="left"/>
    </xf>
    <xf numFmtId="3" fontId="16" fillId="0" borderId="43" xfId="3" applyNumberFormat="1" applyFont="1" applyBorder="1"/>
    <xf numFmtId="0" fontId="39" fillId="0" borderId="44" xfId="3" applyFont="1" applyBorder="1" applyAlignment="1">
      <alignment horizontal="left"/>
    </xf>
    <xf numFmtId="0" fontId="39" fillId="0" borderId="10" xfId="3" applyFont="1" applyBorder="1"/>
    <xf numFmtId="0" fontId="39" fillId="0" borderId="3" xfId="3" applyFont="1" applyBorder="1" applyAlignment="1">
      <alignment horizontal="center"/>
    </xf>
    <xf numFmtId="3" fontId="40" fillId="0" borderId="3" xfId="3" applyNumberFormat="1" applyFont="1" applyBorder="1"/>
    <xf numFmtId="0" fontId="40" fillId="0" borderId="19" xfId="3" applyFont="1" applyBorder="1"/>
    <xf numFmtId="0" fontId="10" fillId="2" borderId="0" xfId="0" applyFont="1" applyFill="1" applyBorder="1" applyAlignment="1">
      <alignment horizontal="center"/>
    </xf>
    <xf numFmtId="3" fontId="14" fillId="2" borderId="27" xfId="3" applyNumberFormat="1" applyFont="1" applyFill="1" applyBorder="1" applyAlignment="1">
      <alignment horizontal="left" indent="1"/>
    </xf>
    <xf numFmtId="3" fontId="21" fillId="0" borderId="40" xfId="3" applyNumberFormat="1" applyFont="1" applyBorder="1" applyAlignment="1">
      <alignment horizontal="right"/>
    </xf>
    <xf numFmtId="0" fontId="42" fillId="0" borderId="5" xfId="3" applyFont="1" applyBorder="1" applyAlignment="1">
      <alignment horizontal="left" indent="1"/>
    </xf>
    <xf numFmtId="0" fontId="43" fillId="0" borderId="1" xfId="3" applyFont="1" applyBorder="1" applyAlignment="1">
      <alignment horizontal="center"/>
    </xf>
    <xf numFmtId="3" fontId="44" fillId="0" borderId="1" xfId="3" applyNumberFormat="1" applyFont="1" applyBorder="1"/>
    <xf numFmtId="3" fontId="44" fillId="0" borderId="7" xfId="3" applyNumberFormat="1" applyFont="1" applyBorder="1"/>
    <xf numFmtId="0" fontId="44" fillId="0" borderId="7" xfId="3" applyFont="1" applyBorder="1"/>
    <xf numFmtId="38" fontId="44" fillId="0" borderId="7" xfId="3" applyNumberFormat="1" applyFont="1" applyBorder="1"/>
    <xf numFmtId="0" fontId="30" fillId="0" borderId="23" xfId="0" applyFont="1" applyBorder="1" applyAlignment="1">
      <alignment horizontal="left" indent="1"/>
    </xf>
    <xf numFmtId="0" fontId="35" fillId="0" borderId="25" xfId="0" applyFont="1" applyBorder="1" applyAlignment="1">
      <alignment horizontal="left"/>
    </xf>
    <xf numFmtId="0" fontId="30" fillId="0" borderId="23" xfId="0" applyFont="1" applyBorder="1" applyAlignment="1">
      <alignment horizontal="right"/>
    </xf>
    <xf numFmtId="0" fontId="45" fillId="0" borderId="23" xfId="0" applyFont="1" applyBorder="1" applyAlignment="1">
      <alignment horizontal="right"/>
    </xf>
    <xf numFmtId="0" fontId="30" fillId="0" borderId="23" xfId="0" applyFont="1" applyBorder="1"/>
    <xf numFmtId="0" fontId="30" fillId="0" borderId="24" xfId="0" applyFont="1" applyBorder="1" applyAlignment="1">
      <alignment horizontal="right"/>
    </xf>
    <xf numFmtId="0" fontId="30" fillId="0" borderId="30" xfId="0" applyFont="1" applyBorder="1" applyAlignment="1">
      <alignment horizontal="right"/>
    </xf>
    <xf numFmtId="0" fontId="41" fillId="0" borderId="23" xfId="0" applyFont="1" applyBorder="1" applyAlignment="1">
      <alignment horizontal="right"/>
    </xf>
    <xf numFmtId="3" fontId="47" fillId="0" borderId="1" xfId="0" applyNumberFormat="1" applyFont="1" applyBorder="1"/>
    <xf numFmtId="3" fontId="47" fillId="0" borderId="7" xfId="0" applyNumberFormat="1" applyFont="1" applyBorder="1"/>
    <xf numFmtId="3" fontId="47" fillId="0" borderId="0" xfId="0" applyNumberFormat="1" applyFont="1"/>
    <xf numFmtId="0" fontId="48" fillId="0" borderId="0" xfId="0" applyFont="1"/>
    <xf numFmtId="0" fontId="49" fillId="0" borderId="23" xfId="0" applyFont="1" applyBorder="1"/>
    <xf numFmtId="4" fontId="47" fillId="0" borderId="0" xfId="0" applyNumberFormat="1" applyFont="1"/>
    <xf numFmtId="0" fontId="42" fillId="0" borderId="23" xfId="0" applyFont="1" applyBorder="1" applyAlignment="1">
      <alignment horizontal="left" indent="1"/>
    </xf>
    <xf numFmtId="3" fontId="50" fillId="0" borderId="1" xfId="0" applyNumberFormat="1" applyFont="1" applyBorder="1"/>
    <xf numFmtId="3" fontId="50" fillId="0" borderId="7" xfId="0" applyNumberFormat="1" applyFont="1" applyBorder="1"/>
    <xf numFmtId="3" fontId="50" fillId="0" borderId="0" xfId="0" applyNumberFormat="1" applyFont="1"/>
    <xf numFmtId="0" fontId="51" fillId="0" borderId="0" xfId="0" applyFont="1"/>
    <xf numFmtId="0" fontId="42" fillId="0" borderId="8" xfId="3" applyFont="1" applyBorder="1" applyAlignment="1">
      <alignment horizontal="left" indent="1"/>
    </xf>
    <xf numFmtId="0" fontId="42" fillId="0" borderId="2" xfId="3" applyFont="1" applyBorder="1" applyAlignment="1">
      <alignment horizontal="left" indent="1"/>
    </xf>
    <xf numFmtId="0" fontId="30" fillId="0" borderId="2" xfId="3" applyFont="1" applyBorder="1" applyAlignment="1">
      <alignment horizontal="left" indent="1"/>
    </xf>
    <xf numFmtId="0" fontId="29" fillId="0" borderId="7" xfId="0" applyFont="1" applyBorder="1" applyAlignment="1">
      <alignment horizontal="center"/>
    </xf>
    <xf numFmtId="0" fontId="26" fillId="0" borderId="0" xfId="0" applyFont="1" applyBorder="1"/>
    <xf numFmtId="0" fontId="26" fillId="0" borderId="0" xfId="0" applyFont="1" applyAlignment="1">
      <alignment horizontal="center"/>
    </xf>
    <xf numFmtId="0" fontId="26" fillId="0" borderId="0" xfId="0" applyFont="1"/>
    <xf numFmtId="38" fontId="52" fillId="0" borderId="0" xfId="0" applyNumberFormat="1" applyFont="1" applyBorder="1"/>
    <xf numFmtId="0" fontId="29" fillId="0" borderId="0" xfId="0" applyFont="1" applyBorder="1"/>
    <xf numFmtId="0" fontId="17" fillId="0" borderId="31" xfId="0" applyFont="1" applyBorder="1" applyAlignment="1">
      <alignment vertical="center"/>
    </xf>
    <xf numFmtId="0" fontId="16" fillId="0" borderId="14" xfId="0" applyFont="1" applyBorder="1" applyAlignment="1">
      <alignment horizontal="center" vertical="center"/>
    </xf>
    <xf numFmtId="0" fontId="16" fillId="0" borderId="21" xfId="0" quotePrefix="1" applyFont="1" applyBorder="1" applyAlignment="1">
      <alignment horizontal="centerContinuous" vertical="center"/>
    </xf>
    <xf numFmtId="0" fontId="16" fillId="0" borderId="13" xfId="0" quotePrefix="1" applyFont="1" applyBorder="1" applyAlignment="1">
      <alignment horizontal="centerContinuous" vertical="center"/>
    </xf>
    <xf numFmtId="0" fontId="32" fillId="0" borderId="15" xfId="0" applyFont="1" applyBorder="1"/>
    <xf numFmtId="0" fontId="29" fillId="0" borderId="18" xfId="0" applyFont="1" applyBorder="1" applyAlignment="1">
      <alignment horizontal="center"/>
    </xf>
    <xf numFmtId="0" fontId="29" fillId="0" borderId="45" xfId="0" applyFont="1" applyBorder="1"/>
    <xf numFmtId="0" fontId="29" fillId="0" borderId="17" xfId="0" applyFont="1" applyBorder="1"/>
    <xf numFmtId="0" fontId="29" fillId="0" borderId="18" xfId="0" applyFont="1" applyBorder="1"/>
    <xf numFmtId="0" fontId="33" fillId="0" borderId="2" xfId="0" applyFont="1" applyBorder="1"/>
    <xf numFmtId="0" fontId="29" fillId="0" borderId="12" xfId="0" applyFont="1" applyBorder="1"/>
    <xf numFmtId="0" fontId="29" fillId="0" borderId="1" xfId="0" applyFont="1" applyBorder="1"/>
    <xf numFmtId="0" fontId="29" fillId="0" borderId="7" xfId="0" applyFont="1" applyBorder="1"/>
    <xf numFmtId="0" fontId="29" fillId="0" borderId="2" xfId="0" applyFont="1" applyBorder="1"/>
    <xf numFmtId="4" fontId="29" fillId="0" borderId="0" xfId="0" applyNumberFormat="1" applyFont="1"/>
    <xf numFmtId="3" fontId="29" fillId="0" borderId="7" xfId="0" applyNumberFormat="1" applyFont="1" applyBorder="1"/>
    <xf numFmtId="0" fontId="34" fillId="0" borderId="2" xfId="0" applyFont="1" applyBorder="1" applyAlignment="1">
      <alignment horizontal="right"/>
    </xf>
    <xf numFmtId="4" fontId="29" fillId="0" borderId="12" xfId="0" applyNumberFormat="1" applyFont="1" applyBorder="1"/>
    <xf numFmtId="4" fontId="29" fillId="0" borderId="1" xfId="0" applyNumberFormat="1" applyFont="1" applyBorder="1"/>
    <xf numFmtId="4" fontId="29" fillId="0" borderId="7" xfId="0" applyNumberFormat="1" applyFont="1" applyBorder="1"/>
    <xf numFmtId="1" fontId="29" fillId="0" borderId="0" xfId="0" applyNumberFormat="1" applyFont="1" applyBorder="1"/>
    <xf numFmtId="1" fontId="29" fillId="0" borderId="2" xfId="0" applyNumberFormat="1" applyFont="1" applyBorder="1"/>
    <xf numFmtId="1" fontId="29" fillId="0" borderId="7" xfId="0" applyNumberFormat="1" applyFont="1" applyBorder="1" applyAlignment="1">
      <alignment horizontal="center"/>
    </xf>
    <xf numFmtId="1" fontId="29" fillId="0" borderId="12" xfId="0" applyNumberFormat="1" applyFont="1" applyBorder="1"/>
    <xf numFmtId="1" fontId="29" fillId="0" borderId="1" xfId="0" applyNumberFormat="1" applyFont="1" applyBorder="1"/>
    <xf numFmtId="1" fontId="29" fillId="0" borderId="7" xfId="0" applyNumberFormat="1" applyFont="1" applyBorder="1"/>
    <xf numFmtId="1" fontId="29" fillId="0" borderId="0" xfId="0" applyNumberFormat="1" applyFont="1"/>
    <xf numFmtId="0" fontId="32" fillId="0" borderId="2" xfId="0" applyFont="1" applyBorder="1"/>
    <xf numFmtId="4" fontId="53" fillId="0" borderId="7" xfId="0" applyNumberFormat="1" applyFont="1" applyBorder="1"/>
    <xf numFmtId="4" fontId="29" fillId="0" borderId="0" xfId="0" applyNumberFormat="1" applyFont="1" applyBorder="1"/>
    <xf numFmtId="4" fontId="32" fillId="0" borderId="2" xfId="0" applyNumberFormat="1" applyFont="1" applyBorder="1"/>
    <xf numFmtId="4" fontId="29" fillId="0" borderId="7" xfId="0" applyNumberFormat="1" applyFont="1" applyBorder="1" applyAlignment="1">
      <alignment horizontal="center"/>
    </xf>
    <xf numFmtId="0" fontId="29" fillId="0" borderId="44" xfId="0" applyFont="1" applyBorder="1"/>
    <xf numFmtId="0" fontId="29" fillId="0" borderId="19" xfId="0" applyFont="1" applyBorder="1" applyAlignment="1">
      <alignment horizontal="center"/>
    </xf>
    <xf numFmtId="4" fontId="29" fillId="0" borderId="46" xfId="0" applyNumberFormat="1" applyFont="1" applyBorder="1"/>
    <xf numFmtId="4" fontId="29" fillId="0" borderId="3" xfId="0" applyNumberFormat="1" applyFont="1" applyBorder="1"/>
    <xf numFmtId="4" fontId="29" fillId="0" borderId="19" xfId="0" applyNumberFormat="1" applyFont="1" applyBorder="1"/>
    <xf numFmtId="0" fontId="29" fillId="0" borderId="0" xfId="0" applyFont="1" applyAlignment="1">
      <alignment horizontal="center"/>
    </xf>
    <xf numFmtId="0" fontId="54" fillId="0" borderId="0" xfId="3" applyFont="1"/>
    <xf numFmtId="0" fontId="54" fillId="0" borderId="0" xfId="3" applyFont="1" applyBorder="1"/>
    <xf numFmtId="166" fontId="54" fillId="0" borderId="0" xfId="1" applyNumberFormat="1" applyFont="1"/>
    <xf numFmtId="0" fontId="54" fillId="0" borderId="0" xfId="3" applyFont="1" applyAlignment="1">
      <alignment horizontal="left" indent="1"/>
    </xf>
    <xf numFmtId="0" fontId="55" fillId="0" borderId="0" xfId="3" applyFont="1" applyAlignment="1">
      <alignment horizontal="left" indent="1"/>
    </xf>
    <xf numFmtId="0" fontId="33" fillId="4" borderId="2" xfId="3" applyFont="1" applyFill="1" applyBorder="1" applyAlignment="1">
      <alignment horizontal="left"/>
    </xf>
    <xf numFmtId="4" fontId="29" fillId="4" borderId="5" xfId="3" applyNumberFormat="1" applyFont="1" applyFill="1" applyBorder="1"/>
    <xf numFmtId="4" fontId="29" fillId="4" borderId="1" xfId="3" applyNumberFormat="1" applyFont="1" applyFill="1" applyBorder="1" applyAlignment="1">
      <alignment horizontal="center"/>
    </xf>
    <xf numFmtId="3" fontId="16" fillId="4" borderId="1" xfId="3" applyNumberFormat="1" applyFont="1" applyFill="1" applyBorder="1"/>
    <xf numFmtId="0" fontId="16" fillId="4" borderId="7" xfId="3" applyFont="1" applyFill="1" applyBorder="1"/>
    <xf numFmtId="3" fontId="29" fillId="0" borderId="0" xfId="0" applyNumberFormat="1" applyFont="1" applyBorder="1"/>
    <xf numFmtId="3" fontId="29" fillId="0" borderId="42" xfId="0" applyNumberFormat="1" applyFont="1" applyBorder="1" applyAlignment="1">
      <alignment horizontal="center"/>
    </xf>
    <xf numFmtId="3" fontId="29" fillId="0" borderId="22" xfId="0" applyNumberFormat="1" applyFont="1" applyBorder="1"/>
    <xf numFmtId="3" fontId="29" fillId="0" borderId="20" xfId="0" applyNumberFormat="1" applyFont="1" applyBorder="1" applyAlignment="1">
      <alignment horizontal="center"/>
    </xf>
    <xf numFmtId="3" fontId="29" fillId="0" borderId="13" xfId="0" quotePrefix="1" applyNumberFormat="1" applyFont="1" applyBorder="1" applyAlignment="1">
      <alignment horizontal="center"/>
    </xf>
    <xf numFmtId="0" fontId="29" fillId="0" borderId="16" xfId="0" applyFont="1" applyBorder="1"/>
    <xf numFmtId="3" fontId="29" fillId="0" borderId="4" xfId="0" applyNumberFormat="1" applyFont="1" applyBorder="1" applyAlignment="1">
      <alignment horizontal="center"/>
    </xf>
    <xf numFmtId="3" fontId="29" fillId="0" borderId="17" xfId="0" applyNumberFormat="1" applyFont="1" applyBorder="1"/>
    <xf numFmtId="0" fontId="34" fillId="0" borderId="5" xfId="0" applyFont="1" applyBorder="1"/>
    <xf numFmtId="3" fontId="29" fillId="0" borderId="1" xfId="0" applyNumberFormat="1" applyFont="1" applyBorder="1" applyAlignment="1">
      <alignment horizontal="center"/>
    </xf>
    <xf numFmtId="0" fontId="30" fillId="0" borderId="2" xfId="0" applyFont="1" applyBorder="1"/>
    <xf numFmtId="0" fontId="30" fillId="0" borderId="5" xfId="0" applyFont="1" applyBorder="1"/>
    <xf numFmtId="3" fontId="30" fillId="0" borderId="1" xfId="0" applyNumberFormat="1" applyFont="1" applyBorder="1" applyAlignment="1">
      <alignment horizontal="center"/>
    </xf>
    <xf numFmtId="3" fontId="30" fillId="0" borderId="1" xfId="0" applyNumberFormat="1" applyFont="1" applyBorder="1"/>
    <xf numFmtId="3" fontId="30" fillId="0" borderId="0" xfId="0" applyNumberFormat="1" applyFont="1"/>
    <xf numFmtId="0" fontId="34" fillId="0" borderId="5" xfId="0" applyFont="1" applyBorder="1" applyAlignment="1">
      <alignment horizontal="right"/>
    </xf>
    <xf numFmtId="0" fontId="29" fillId="0" borderId="5" xfId="0" applyFont="1" applyBorder="1"/>
    <xf numFmtId="3" fontId="53" fillId="0" borderId="0" xfId="0" applyNumberFormat="1" applyFont="1"/>
    <xf numFmtId="0" fontId="26" fillId="0" borderId="5" xfId="0" applyFont="1" applyBorder="1"/>
    <xf numFmtId="0" fontId="35" fillId="0" borderId="5" xfId="0" applyFont="1" applyBorder="1" applyAlignment="1">
      <alignment horizontal="left"/>
    </xf>
    <xf numFmtId="0" fontId="30" fillId="0" borderId="5" xfId="0" applyFont="1" applyBorder="1" applyAlignment="1">
      <alignment horizontal="left"/>
    </xf>
    <xf numFmtId="0" fontId="30" fillId="0" borderId="5" xfId="0" applyFont="1" applyBorder="1" applyAlignment="1">
      <alignment horizontal="right"/>
    </xf>
    <xf numFmtId="0" fontId="30" fillId="0" borderId="6" xfId="0" applyFont="1" applyBorder="1"/>
    <xf numFmtId="0" fontId="46" fillId="0" borderId="5" xfId="0" applyFont="1" applyBorder="1"/>
    <xf numFmtId="3" fontId="57" fillId="0" borderId="0" xfId="0" applyNumberFormat="1" applyFont="1"/>
    <xf numFmtId="3" fontId="58" fillId="0" borderId="0" xfId="0" applyNumberFormat="1" applyFont="1"/>
    <xf numFmtId="4" fontId="29" fillId="0" borderId="5" xfId="0" applyNumberFormat="1" applyFont="1" applyBorder="1"/>
    <xf numFmtId="4" fontId="52" fillId="0" borderId="2" xfId="0" applyNumberFormat="1" applyFont="1" applyBorder="1"/>
    <xf numFmtId="4" fontId="30" fillId="0" borderId="5" xfId="0" applyNumberFormat="1" applyFont="1" applyBorder="1"/>
    <xf numFmtId="4" fontId="35" fillId="0" borderId="5" xfId="0" applyNumberFormat="1" applyFont="1" applyBorder="1" applyAlignment="1">
      <alignment horizontal="right"/>
    </xf>
    <xf numFmtId="0" fontId="29" fillId="0" borderId="9" xfId="0" applyFont="1" applyBorder="1"/>
    <xf numFmtId="0" fontId="29" fillId="0" borderId="10" xfId="0" applyFont="1" applyBorder="1"/>
    <xf numFmtId="3" fontId="29" fillId="0" borderId="3" xfId="0" applyNumberFormat="1" applyFont="1" applyBorder="1" applyAlignment="1">
      <alignment horizontal="center"/>
    </xf>
    <xf numFmtId="3" fontId="29" fillId="0" borderId="3" xfId="0" applyNumberFormat="1" applyFont="1" applyBorder="1"/>
    <xf numFmtId="3" fontId="29" fillId="0" borderId="0" xfId="0" applyNumberFormat="1" applyFont="1" applyBorder="1" applyAlignment="1">
      <alignment horizontal="center"/>
    </xf>
    <xf numFmtId="3" fontId="29" fillId="0" borderId="0" xfId="0" applyNumberFormat="1" applyFont="1" applyAlignment="1">
      <alignment horizontal="center"/>
    </xf>
    <xf numFmtId="3" fontId="29" fillId="0" borderId="0" xfId="0" applyNumberFormat="1" applyFont="1" applyAlignment="1">
      <alignment horizontal="right"/>
    </xf>
    <xf numFmtId="0" fontId="30" fillId="0" borderId="5" xfId="0" applyFont="1" applyBorder="1" applyAlignment="1">
      <alignment horizontal="left" indent="1"/>
    </xf>
    <xf numFmtId="4" fontId="30" fillId="0" borderId="0" xfId="0" applyNumberFormat="1" applyFont="1"/>
    <xf numFmtId="0" fontId="35" fillId="0" borderId="5" xfId="0" applyFont="1" applyBorder="1" applyAlignment="1">
      <alignment horizontal="right"/>
    </xf>
    <xf numFmtId="1" fontId="30" fillId="0" borderId="2" xfId="0" applyNumberFormat="1" applyFont="1" applyBorder="1"/>
    <xf numFmtId="1" fontId="30" fillId="0" borderId="5" xfId="0" applyNumberFormat="1" applyFont="1" applyBorder="1"/>
    <xf numFmtId="0" fontId="30" fillId="0" borderId="1" xfId="3" applyFont="1" applyBorder="1" applyAlignment="1">
      <alignment horizontal="left"/>
    </xf>
    <xf numFmtId="4" fontId="30" fillId="0" borderId="1" xfId="0" applyNumberFormat="1" applyFont="1" applyBorder="1"/>
    <xf numFmtId="4" fontId="30" fillId="0" borderId="5" xfId="0" applyNumberFormat="1" applyFont="1" applyBorder="1" applyAlignment="1">
      <alignment horizontal="left" indent="1"/>
    </xf>
    <xf numFmtId="0" fontId="43" fillId="0" borderId="2" xfId="3" applyFont="1" applyBorder="1" applyAlignment="1">
      <alignment horizontal="left"/>
    </xf>
    <xf numFmtId="0" fontId="43" fillId="0" borderId="0" xfId="3" applyFont="1"/>
    <xf numFmtId="4" fontId="52" fillId="0" borderId="0" xfId="0" applyNumberFormat="1" applyFont="1" applyBorder="1"/>
    <xf numFmtId="4" fontId="30" fillId="0" borderId="0" xfId="0" applyNumberFormat="1" applyFont="1" applyBorder="1"/>
    <xf numFmtId="3" fontId="30" fillId="0" borderId="0" xfId="0" applyNumberFormat="1" applyFont="1" applyBorder="1" applyAlignment="1">
      <alignment horizontal="center"/>
    </xf>
    <xf numFmtId="3" fontId="30" fillId="0" borderId="0" xfId="0" applyNumberFormat="1" applyFont="1" applyBorder="1"/>
    <xf numFmtId="4" fontId="52" fillId="0" borderId="1" xfId="0" applyNumberFormat="1" applyFont="1" applyBorder="1"/>
    <xf numFmtId="4" fontId="32" fillId="0" borderId="1" xfId="0" applyNumberFormat="1" applyFont="1" applyBorder="1"/>
    <xf numFmtId="38" fontId="29" fillId="0" borderId="0" xfId="3" applyNumberFormat="1" applyFont="1"/>
    <xf numFmtId="0" fontId="30" fillId="0" borderId="0" xfId="0" applyFont="1" applyAlignment="1">
      <alignment horizontal="left" indent="1"/>
    </xf>
    <xf numFmtId="0" fontId="30" fillId="0" borderId="2" xfId="0" applyFont="1" applyBorder="1" applyAlignment="1">
      <alignment horizontal="left" indent="1"/>
    </xf>
    <xf numFmtId="0" fontId="30" fillId="0" borderId="6" xfId="0" applyFont="1" applyBorder="1" applyAlignment="1">
      <alignment horizontal="left" indent="1"/>
    </xf>
    <xf numFmtId="0" fontId="30" fillId="0" borderId="0" xfId="0" applyFont="1" applyBorder="1"/>
    <xf numFmtId="0" fontId="30" fillId="0" borderId="7" xfId="0" applyFont="1" applyBorder="1" applyAlignment="1">
      <alignment horizontal="center"/>
    </xf>
    <xf numFmtId="3" fontId="30" fillId="0" borderId="12" xfId="0" applyNumberFormat="1" applyFont="1" applyBorder="1"/>
    <xf numFmtId="3" fontId="30" fillId="0" borderId="7" xfId="0" applyNumberFormat="1" applyFont="1" applyBorder="1"/>
    <xf numFmtId="0" fontId="35" fillId="0" borderId="2" xfId="0" applyFont="1" applyBorder="1" applyAlignment="1">
      <alignment horizontal="left"/>
    </xf>
    <xf numFmtId="0" fontId="30" fillId="0" borderId="2" xfId="0" applyFont="1" applyBorder="1" applyAlignment="1">
      <alignment horizontal="left"/>
    </xf>
    <xf numFmtId="3" fontId="35" fillId="0" borderId="12" xfId="0" applyNumberFormat="1" applyFont="1" applyBorder="1"/>
    <xf numFmtId="3" fontId="35" fillId="0" borderId="1" xfId="0" applyNumberFormat="1" applyFont="1" applyBorder="1"/>
    <xf numFmtId="4" fontId="30" fillId="0" borderId="12" xfId="0" applyNumberFormat="1" applyFont="1" applyBorder="1"/>
    <xf numFmtId="4" fontId="30" fillId="0" borderId="7" xfId="0" applyNumberFormat="1" applyFont="1" applyBorder="1"/>
    <xf numFmtId="3" fontId="30" fillId="0" borderId="47" xfId="0" applyNumberFormat="1" applyFont="1" applyBorder="1"/>
    <xf numFmtId="0" fontId="30" fillId="0" borderId="23" xfId="0" applyFont="1" applyBorder="1" applyAlignment="1">
      <alignment horizontal="left"/>
    </xf>
    <xf numFmtId="4" fontId="57" fillId="0" borderId="1" xfId="0" applyNumberFormat="1" applyFont="1" applyBorder="1"/>
    <xf numFmtId="4" fontId="57" fillId="0" borderId="7" xfId="0" applyNumberFormat="1" applyFont="1" applyBorder="1"/>
    <xf numFmtId="4" fontId="30" fillId="0" borderId="2" xfId="0" applyNumberFormat="1" applyFont="1" applyBorder="1"/>
    <xf numFmtId="4" fontId="30" fillId="0" borderId="7" xfId="0" applyNumberFormat="1" applyFont="1" applyBorder="1" applyAlignment="1">
      <alignment horizontal="center"/>
    </xf>
    <xf numFmtId="3" fontId="57" fillId="0" borderId="1" xfId="0" applyNumberFormat="1" applyFont="1" applyBorder="1"/>
    <xf numFmtId="3" fontId="57" fillId="0" borderId="7" xfId="0" applyNumberFormat="1" applyFont="1" applyBorder="1"/>
    <xf numFmtId="0" fontId="29" fillId="0" borderId="41" xfId="3" applyFont="1" applyBorder="1"/>
    <xf numFmtId="0" fontId="29" fillId="0" borderId="40" xfId="3" applyFont="1" applyBorder="1"/>
    <xf numFmtId="0" fontId="29" fillId="0" borderId="50" xfId="3" applyFont="1" applyBorder="1"/>
    <xf numFmtId="164" fontId="14" fillId="0" borderId="48" xfId="3" applyNumberFormat="1" applyFont="1" applyBorder="1"/>
    <xf numFmtId="164" fontId="14" fillId="0" borderId="43" xfId="3" applyNumberFormat="1" applyFont="1" applyBorder="1"/>
    <xf numFmtId="164" fontId="14" fillId="0" borderId="49" xfId="3" applyNumberFormat="1" applyFont="1" applyBorder="1"/>
    <xf numFmtId="9" fontId="29" fillId="0" borderId="0" xfId="2" applyFont="1"/>
    <xf numFmtId="0" fontId="17" fillId="0" borderId="0" xfId="0" applyFont="1"/>
    <xf numFmtId="0" fontId="33" fillId="0" borderId="0" xfId="0" applyFont="1"/>
    <xf numFmtId="4" fontId="33" fillId="0" borderId="0" xfId="0" applyNumberFormat="1" applyFont="1"/>
    <xf numFmtId="0" fontId="35" fillId="0" borderId="26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0" fontId="30" fillId="0" borderId="25" xfId="0" applyFont="1" applyBorder="1"/>
    <xf numFmtId="38" fontId="29" fillId="0" borderId="17" xfId="0" applyNumberFormat="1" applyFont="1" applyBorder="1"/>
    <xf numFmtId="38" fontId="29" fillId="0" borderId="18" xfId="0" applyNumberFormat="1" applyFont="1" applyBorder="1"/>
    <xf numFmtId="38" fontId="29" fillId="0" borderId="1" xfId="0" applyNumberFormat="1" applyFont="1" applyBorder="1"/>
    <xf numFmtId="38" fontId="29" fillId="0" borderId="28" xfId="0" applyNumberFormat="1" applyFont="1" applyBorder="1"/>
    <xf numFmtId="0" fontId="30" fillId="0" borderId="24" xfId="0" applyFont="1" applyBorder="1"/>
    <xf numFmtId="38" fontId="29" fillId="0" borderId="3" xfId="0" applyNumberFormat="1" applyFont="1" applyBorder="1"/>
    <xf numFmtId="38" fontId="29" fillId="0" borderId="19" xfId="0" applyNumberFormat="1" applyFont="1" applyBorder="1"/>
    <xf numFmtId="38" fontId="29" fillId="0" borderId="4" xfId="0" applyNumberFormat="1" applyFont="1" applyBorder="1"/>
    <xf numFmtId="0" fontId="59" fillId="0" borderId="0" xfId="0" applyFont="1"/>
    <xf numFmtId="38" fontId="30" fillId="0" borderId="0" xfId="0" applyNumberFormat="1" applyFont="1"/>
    <xf numFmtId="0" fontId="59" fillId="0" borderId="0" xfId="0" applyFont="1" applyAlignment="1">
      <alignment horizontal="center"/>
    </xf>
    <xf numFmtId="40" fontId="30" fillId="0" borderId="0" xfId="0" applyNumberFormat="1" applyFont="1" applyAlignment="1">
      <alignment horizontal="center"/>
    </xf>
    <xf numFmtId="2" fontId="30" fillId="0" borderId="0" xfId="0" applyNumberFormat="1" applyFont="1"/>
    <xf numFmtId="38" fontId="29" fillId="0" borderId="0" xfId="0" applyNumberFormat="1" applyFont="1"/>
    <xf numFmtId="38" fontId="16" fillId="0" borderId="0" xfId="0" applyNumberFormat="1" applyFont="1"/>
    <xf numFmtId="38" fontId="30" fillId="0" borderId="0" xfId="0" applyNumberFormat="1" applyFont="1" applyBorder="1"/>
    <xf numFmtId="38" fontId="52" fillId="0" borderId="0" xfId="0" applyNumberFormat="1" applyFont="1"/>
    <xf numFmtId="38" fontId="31" fillId="0" borderId="0" xfId="0" applyNumberFormat="1" applyFont="1"/>
    <xf numFmtId="38" fontId="30" fillId="0" borderId="29" xfId="0" applyNumberFormat="1" applyFont="1" applyBorder="1"/>
    <xf numFmtId="38" fontId="29" fillId="0" borderId="13" xfId="0" quotePrefix="1" applyNumberFormat="1" applyFont="1" applyBorder="1" applyAlignment="1">
      <alignment horizontal="center"/>
    </xf>
    <xf numFmtId="38" fontId="29" fillId="0" borderId="13" xfId="0" applyNumberFormat="1" applyFont="1" applyBorder="1" applyAlignment="1">
      <alignment horizontal="center"/>
    </xf>
    <xf numFmtId="38" fontId="29" fillId="0" borderId="14" xfId="0" applyNumberFormat="1" applyFont="1" applyBorder="1" applyAlignment="1">
      <alignment horizontal="center"/>
    </xf>
    <xf numFmtId="38" fontId="30" fillId="0" borderId="30" xfId="0" applyNumberFormat="1" applyFont="1" applyBorder="1"/>
    <xf numFmtId="38" fontId="29" fillId="0" borderId="4" xfId="0" applyNumberFormat="1" applyFont="1" applyBorder="1" applyAlignment="1">
      <alignment horizontal="center"/>
    </xf>
    <xf numFmtId="38" fontId="30" fillId="0" borderId="23" xfId="0" applyNumberFormat="1" applyFont="1" applyBorder="1"/>
    <xf numFmtId="38" fontId="29" fillId="0" borderId="7" xfId="0" applyNumberFormat="1" applyFont="1" applyBorder="1"/>
    <xf numFmtId="38" fontId="33" fillId="0" borderId="0" xfId="0" applyNumberFormat="1" applyFont="1"/>
    <xf numFmtId="38" fontId="30" fillId="0" borderId="23" xfId="0" applyNumberFormat="1" applyFont="1" applyBorder="1" applyAlignment="1">
      <alignment horizontal="right"/>
    </xf>
    <xf numFmtId="38" fontId="30" fillId="0" borderId="24" xfId="0" applyNumberFormat="1" applyFont="1" applyBorder="1"/>
    <xf numFmtId="38" fontId="29" fillId="0" borderId="0" xfId="0" applyNumberFormat="1" applyFont="1" applyBorder="1"/>
    <xf numFmtId="10" fontId="29" fillId="0" borderId="0" xfId="2" applyNumberFormat="1" applyFont="1"/>
    <xf numFmtId="38" fontId="30" fillId="0" borderId="0" xfId="0" applyNumberFormat="1" applyFont="1" applyBorder="1" applyAlignment="1">
      <alignment horizontal="left" indent="1"/>
    </xf>
    <xf numFmtId="38" fontId="59" fillId="0" borderId="0" xfId="0" applyNumberFormat="1" applyFont="1" applyBorder="1" applyAlignment="1">
      <alignment horizontal="left"/>
    </xf>
    <xf numFmtId="40" fontId="29" fillId="0" borderId="0" xfId="0" applyNumberFormat="1" applyFont="1"/>
    <xf numFmtId="38" fontId="30" fillId="0" borderId="0" xfId="0" applyNumberFormat="1" applyFont="1" applyAlignment="1">
      <alignment horizontal="center"/>
    </xf>
    <xf numFmtId="0" fontId="17" fillId="0" borderId="0" xfId="3" applyFont="1" applyAlignment="1">
      <alignment horizontal="left"/>
    </xf>
    <xf numFmtId="38" fontId="17" fillId="0" borderId="0" xfId="0" applyNumberFormat="1" applyFont="1"/>
    <xf numFmtId="1" fontId="29" fillId="2" borderId="2" xfId="0" applyNumberFormat="1" applyFont="1" applyFill="1" applyBorder="1"/>
    <xf numFmtId="1" fontId="29" fillId="2" borderId="5" xfId="0" applyNumberFormat="1" applyFont="1" applyFill="1" applyBorder="1"/>
    <xf numFmtId="3" fontId="29" fillId="2" borderId="1" xfId="0" applyNumberFormat="1" applyFont="1" applyFill="1" applyBorder="1" applyAlignment="1">
      <alignment horizontal="center"/>
    </xf>
    <xf numFmtId="3" fontId="29" fillId="2" borderId="1" xfId="0" applyNumberFormat="1" applyFont="1" applyFill="1" applyBorder="1"/>
    <xf numFmtId="3" fontId="29" fillId="2" borderId="0" xfId="0" applyNumberFormat="1" applyFont="1" applyFill="1"/>
    <xf numFmtId="9" fontId="30" fillId="2" borderId="27" xfId="2" applyFont="1" applyFill="1" applyBorder="1" applyAlignment="1">
      <alignment horizontal="center"/>
    </xf>
    <xf numFmtId="0" fontId="30" fillId="0" borderId="39" xfId="0" applyFont="1" applyFill="1" applyBorder="1" applyAlignment="1">
      <alignment horizontal="right"/>
    </xf>
    <xf numFmtId="3" fontId="2" fillId="0" borderId="0" xfId="0" applyNumberFormat="1" applyFont="1"/>
    <xf numFmtId="167" fontId="29" fillId="0" borderId="0" xfId="0" applyNumberFormat="1" applyFont="1"/>
    <xf numFmtId="38" fontId="60" fillId="0" borderId="0" xfId="0" applyNumberFormat="1" applyFont="1" applyFill="1" applyBorder="1" applyAlignment="1">
      <alignment vertical="center"/>
    </xf>
    <xf numFmtId="0" fontId="61" fillId="8" borderId="0" xfId="3" applyFont="1" applyFill="1"/>
    <xf numFmtId="0" fontId="62" fillId="8" borderId="8" xfId="3" applyFont="1" applyFill="1" applyBorder="1"/>
    <xf numFmtId="0" fontId="62" fillId="8" borderId="0" xfId="3" applyFont="1" applyFill="1"/>
    <xf numFmtId="0" fontId="64" fillId="8" borderId="0" xfId="3" applyFont="1" applyFill="1"/>
    <xf numFmtId="0" fontId="65" fillId="8" borderId="0" xfId="3" applyFont="1" applyFill="1"/>
    <xf numFmtId="0" fontId="64" fillId="8" borderId="8" xfId="3" applyFont="1" applyFill="1" applyBorder="1"/>
    <xf numFmtId="0" fontId="62" fillId="6" borderId="0" xfId="3" applyFont="1" applyFill="1"/>
    <xf numFmtId="9" fontId="62" fillId="6" borderId="0" xfId="2" applyFont="1" applyFill="1"/>
    <xf numFmtId="0" fontId="63" fillId="6" borderId="0" xfId="3" applyFont="1" applyFill="1"/>
    <xf numFmtId="0" fontId="68" fillId="6" borderId="0" xfId="3" applyFont="1" applyFill="1"/>
    <xf numFmtId="9" fontId="63" fillId="6" borderId="0" xfId="2" applyFont="1" applyFill="1"/>
    <xf numFmtId="0" fontId="69" fillId="8" borderId="0" xfId="3" applyFont="1" applyFill="1" applyAlignment="1">
      <alignment horizontal="left"/>
    </xf>
    <xf numFmtId="0" fontId="69" fillId="8" borderId="0" xfId="3" applyFont="1" applyFill="1"/>
    <xf numFmtId="9" fontId="69" fillId="8" borderId="0" xfId="2" applyFont="1" applyFill="1"/>
    <xf numFmtId="3" fontId="69" fillId="8" borderId="0" xfId="3" applyNumberFormat="1" applyFont="1" applyFill="1"/>
    <xf numFmtId="0" fontId="69" fillId="8" borderId="0" xfId="3" applyFont="1" applyFill="1" applyAlignment="1">
      <alignment horizontal="left" indent="1"/>
    </xf>
    <xf numFmtId="0" fontId="70" fillId="8" borderId="0" xfId="3" applyFont="1" applyFill="1"/>
    <xf numFmtId="0" fontId="69" fillId="8" borderId="0" xfId="0" applyFont="1" applyFill="1"/>
    <xf numFmtId="0" fontId="69" fillId="8" borderId="0" xfId="0" applyFont="1" applyFill="1" applyAlignment="1">
      <alignment horizontal="left" indent="1"/>
    </xf>
    <xf numFmtId="0" fontId="69" fillId="7" borderId="0" xfId="3" applyFont="1" applyFill="1"/>
    <xf numFmtId="0" fontId="70" fillId="7" borderId="0" xfId="3" applyFont="1" applyFill="1"/>
    <xf numFmtId="0" fontId="63" fillId="7" borderId="0" xfId="3" applyFont="1" applyFill="1" applyAlignment="1">
      <alignment horizontal="center"/>
    </xf>
    <xf numFmtId="0" fontId="63" fillId="7" borderId="0" xfId="3" applyFont="1" applyFill="1" applyAlignment="1">
      <alignment horizontal="right"/>
    </xf>
    <xf numFmtId="38" fontId="69" fillId="8" borderId="0" xfId="3" applyNumberFormat="1" applyFont="1" applyFill="1" applyAlignment="1">
      <alignment horizontal="right"/>
    </xf>
    <xf numFmtId="166" fontId="69" fillId="8" borderId="0" xfId="1" applyNumberFormat="1" applyFont="1" applyFill="1" applyAlignment="1">
      <alignment horizontal="right"/>
    </xf>
    <xf numFmtId="38" fontId="71" fillId="8" borderId="0" xfId="3" applyNumberFormat="1" applyFont="1" applyFill="1" applyAlignment="1">
      <alignment horizontal="right"/>
    </xf>
    <xf numFmtId="2" fontId="71" fillId="8" borderId="0" xfId="3" applyNumberFormat="1" applyFont="1" applyFill="1" applyAlignment="1">
      <alignment horizontal="right"/>
    </xf>
    <xf numFmtId="0" fontId="61" fillId="6" borderId="0" xfId="3" applyFont="1" applyFill="1"/>
    <xf numFmtId="0" fontId="69" fillId="0" borderId="0" xfId="0" applyFont="1"/>
    <xf numFmtId="0" fontId="66" fillId="0" borderId="0" xfId="0" applyFont="1"/>
    <xf numFmtId="0" fontId="67" fillId="0" borderId="0" xfId="0" applyFont="1"/>
    <xf numFmtId="3" fontId="66" fillId="0" borderId="0" xfId="0" applyNumberFormat="1" applyFont="1"/>
    <xf numFmtId="0" fontId="66" fillId="5" borderId="1" xfId="0" applyFont="1" applyFill="1" applyBorder="1" applyAlignment="1">
      <alignment horizontal="center"/>
    </xf>
    <xf numFmtId="3" fontId="66" fillId="5" borderId="1" xfId="0" applyNumberFormat="1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0" fontId="66" fillId="5" borderId="4" xfId="0" applyFont="1" applyFill="1" applyBorder="1" applyAlignment="1">
      <alignment horizontal="center"/>
    </xf>
    <xf numFmtId="0" fontId="66" fillId="0" borderId="1" xfId="0" applyFont="1" applyBorder="1"/>
    <xf numFmtId="166" fontId="66" fillId="0" borderId="1" xfId="1" applyNumberFormat="1" applyFont="1" applyBorder="1"/>
    <xf numFmtId="166" fontId="67" fillId="0" borderId="1" xfId="1" applyNumberFormat="1" applyFont="1" applyBorder="1"/>
    <xf numFmtId="0" fontId="66" fillId="2" borderId="1" xfId="0" applyFont="1" applyFill="1" applyBorder="1"/>
    <xf numFmtId="0" fontId="66" fillId="0" borderId="0" xfId="0" applyFont="1" applyAlignment="1">
      <alignment vertical="center"/>
    </xf>
    <xf numFmtId="3" fontId="66" fillId="0" borderId="1" xfId="0" applyNumberFormat="1" applyFont="1" applyBorder="1" applyAlignment="1">
      <alignment horizontal="left" vertical="center" indent="1"/>
    </xf>
    <xf numFmtId="166" fontId="66" fillId="0" borderId="1" xfId="1" applyNumberFormat="1" applyFont="1" applyBorder="1" applyAlignment="1">
      <alignment vertical="center"/>
    </xf>
    <xf numFmtId="0" fontId="66" fillId="0" borderId="0" xfId="0" applyFont="1" applyAlignment="1">
      <alignment horizontal="left" indent="1"/>
    </xf>
    <xf numFmtId="1" fontId="66" fillId="0" borderId="0" xfId="0" applyNumberFormat="1" applyFont="1"/>
    <xf numFmtId="0" fontId="66" fillId="0" borderId="0" xfId="0" applyFont="1" applyAlignment="1">
      <alignment horizontal="left"/>
    </xf>
    <xf numFmtId="0" fontId="69" fillId="0" borderId="0" xfId="0" applyFont="1" applyAlignment="1">
      <alignment horizontal="left"/>
    </xf>
    <xf numFmtId="0" fontId="73" fillId="0" borderId="0" xfId="4" applyFont="1" applyAlignment="1" applyProtection="1"/>
    <xf numFmtId="3" fontId="69" fillId="0" borderId="0" xfId="0" applyNumberFormat="1" applyFont="1"/>
    <xf numFmtId="4" fontId="69" fillId="0" borderId="0" xfId="0" applyNumberFormat="1" applyFont="1"/>
    <xf numFmtId="0" fontId="69" fillId="0" borderId="0" xfId="0" applyFont="1" applyAlignment="1">
      <alignment horizontal="left" indent="1"/>
    </xf>
    <xf numFmtId="10" fontId="60" fillId="0" borderId="1" xfId="2" applyNumberFormat="1" applyFont="1" applyBorder="1" applyAlignment="1">
      <alignment horizontal="right"/>
    </xf>
    <xf numFmtId="0" fontId="60" fillId="0" borderId="0" xfId="0" applyFont="1"/>
    <xf numFmtId="3" fontId="60" fillId="0" borderId="0" xfId="0" applyNumberFormat="1" applyFont="1"/>
    <xf numFmtId="9" fontId="60" fillId="0" borderId="0" xfId="2" applyFont="1"/>
    <xf numFmtId="166" fontId="60" fillId="0" borderId="0" xfId="1" applyNumberFormat="1" applyFont="1"/>
    <xf numFmtId="9" fontId="66" fillId="0" borderId="0" xfId="0" applyNumberFormat="1" applyFont="1"/>
    <xf numFmtId="168" fontId="69" fillId="8" borderId="0" xfId="2" applyNumberFormat="1" applyFont="1" applyFill="1"/>
    <xf numFmtId="0" fontId="72" fillId="0" borderId="0" xfId="4" applyAlignment="1" applyProtection="1"/>
    <xf numFmtId="0" fontId="70" fillId="7" borderId="51" xfId="3" applyFont="1" applyFill="1" applyBorder="1" applyAlignment="1">
      <alignment horizontal="center"/>
    </xf>
    <xf numFmtId="0" fontId="17" fillId="0" borderId="32" xfId="3" applyFont="1" applyBorder="1" applyAlignment="1">
      <alignment horizontal="left" vertical="center"/>
    </xf>
    <xf numFmtId="0" fontId="17" fillId="0" borderId="36" xfId="3" applyFont="1" applyBorder="1" applyAlignment="1">
      <alignment horizontal="left" vertical="center"/>
    </xf>
    <xf numFmtId="0" fontId="17" fillId="0" borderId="31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69" fillId="0" borderId="47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2" fontId="60" fillId="0" borderId="11" xfId="0" applyNumberFormat="1" applyFont="1" applyBorder="1" applyAlignment="1">
      <alignment horizontal="center" vertical="center"/>
    </xf>
    <xf numFmtId="2" fontId="60" fillId="0" borderId="4" xfId="0" applyNumberFormat="1" applyFont="1" applyBorder="1" applyAlignment="1">
      <alignment horizontal="center" vertical="center"/>
    </xf>
    <xf numFmtId="0" fontId="66" fillId="5" borderId="11" xfId="0" applyFont="1" applyFill="1" applyBorder="1" applyAlignment="1">
      <alignment horizontal="center" vertical="center"/>
    </xf>
    <xf numFmtId="0" fontId="66" fillId="5" borderId="4" xfId="0" applyFont="1" applyFill="1" applyBorder="1" applyAlignment="1">
      <alignment horizontal="center" vertical="center"/>
    </xf>
    <xf numFmtId="0" fontId="67" fillId="5" borderId="11" xfId="0" applyFont="1" applyFill="1" applyBorder="1" applyAlignment="1">
      <alignment horizontal="center" vertical="center"/>
    </xf>
    <xf numFmtId="0" fontId="67" fillId="5" borderId="4" xfId="0" applyFont="1" applyFill="1" applyBorder="1" applyAlignment="1">
      <alignment horizontal="center" vertical="center"/>
    </xf>
    <xf numFmtId="0" fontId="60" fillId="0" borderId="48" xfId="0" applyFont="1" applyBorder="1" applyAlignment="1">
      <alignment horizontal="center" vertical="center"/>
    </xf>
    <xf numFmtId="0" fontId="60" fillId="0" borderId="41" xfId="0" applyFont="1" applyBorder="1" applyAlignment="1">
      <alignment horizontal="center" vertical="center"/>
    </xf>
    <xf numFmtId="0" fontId="60" fillId="0" borderId="49" xfId="0" applyFont="1" applyBorder="1" applyAlignment="1">
      <alignment horizontal="center" vertical="center"/>
    </xf>
    <xf numFmtId="0" fontId="60" fillId="0" borderId="50" xfId="0" applyFont="1" applyBorder="1" applyAlignment="1">
      <alignment horizontal="center" vertical="center"/>
    </xf>
    <xf numFmtId="0" fontId="60" fillId="0" borderId="47" xfId="0" applyFont="1" applyBorder="1" applyAlignment="1">
      <alignment horizontal="left"/>
    </xf>
    <xf numFmtId="0" fontId="60" fillId="0" borderId="12" xfId="0" applyFont="1" applyBorder="1" applyAlignment="1">
      <alignment horizontal="left"/>
    </xf>
    <xf numFmtId="0" fontId="35" fillId="0" borderId="17" xfId="0" applyFont="1" applyBorder="1" applyAlignment="1">
      <alignment horizontal="center"/>
    </xf>
    <xf numFmtId="0" fontId="35" fillId="0" borderId="34" xfId="0" applyFont="1" applyBorder="1" applyAlignment="1">
      <alignment horizontal="center" vertical="center"/>
    </xf>
    <xf numFmtId="0" fontId="35" fillId="0" borderId="35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0" fillId="0" borderId="32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66" fontId="69" fillId="8" borderId="0" xfId="5" applyNumberFormat="1" applyFont="1" applyFill="1"/>
  </cellXfs>
  <cellStyles count="6">
    <cellStyle name="Comma" xfId="1" builtinId="3"/>
    <cellStyle name="Comma 2" xfId="5"/>
    <cellStyle name="Hyperlink" xfId="4" builtinId="8"/>
    <cellStyle name="Normal" xfId="0" builtinId="0"/>
    <cellStyle name="Normal 2" xfId="3"/>
    <cellStyle name="Percent" xfId="2" builtinId="5"/>
  </cellStyles>
  <dxfs count="0"/>
  <tableStyles count="0" defaultTableStyle="TableStyleMedium9" defaultPivotStyle="PivotStyleLight16"/>
  <colors>
    <mruColors>
      <color rgb="FF99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groups.yahoo.com/group/rimbawan-interaktif/message/6847" TargetMode="External"/><Relationship Id="rId1" Type="http://schemas.openxmlformats.org/officeDocument/2006/relationships/hyperlink" Target="http://www.dephut.go.id/informasi/statistik/Stat2002/Baplan/Iv3502.pdf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29"/>
  <sheetViews>
    <sheetView tabSelected="1" workbookViewId="0">
      <pane ySplit="15" topLeftCell="A16" activePane="bottomLeft" state="frozen"/>
      <selection pane="bottomLeft" activeCell="G18" sqref="G18"/>
    </sheetView>
  </sheetViews>
  <sheetFormatPr defaultColWidth="9.109375" defaultRowHeight="16.8"/>
  <cols>
    <col min="1" max="1" width="3" style="370" customWidth="1"/>
    <col min="2" max="2" width="6" style="370" customWidth="1"/>
    <col min="3" max="3" width="28.5546875" style="370" bestFit="1" customWidth="1"/>
    <col min="4" max="4" width="11.5546875" style="370" bestFit="1" customWidth="1"/>
    <col min="5" max="5" width="9.109375" style="370"/>
    <col min="6" max="6" width="10.109375" style="370" customWidth="1"/>
    <col min="7" max="7" width="10.33203125" style="370" customWidth="1"/>
    <col min="8" max="8" width="13.5546875" style="370" customWidth="1"/>
    <col min="9" max="9" width="6.44140625" style="370" customWidth="1"/>
    <col min="10" max="10" width="9.109375" style="370"/>
    <col min="11" max="11" width="14.109375" style="370" customWidth="1"/>
    <col min="12" max="12" width="2.88671875" style="370" customWidth="1"/>
    <col min="13" max="13" width="12.88671875" style="370" customWidth="1"/>
    <col min="14" max="16384" width="9.109375" style="370"/>
  </cols>
  <sheetData>
    <row r="1" spans="2:11" s="366" customFormat="1" ht="20.399999999999999">
      <c r="B1" s="364" t="s">
        <v>350</v>
      </c>
    </row>
    <row r="2" spans="2:11" s="366" customFormat="1">
      <c r="B2" s="368" t="s">
        <v>510</v>
      </c>
      <c r="C2" s="367"/>
    </row>
    <row r="3" spans="2:11" s="366" customFormat="1">
      <c r="B3" s="368"/>
      <c r="C3" s="367"/>
    </row>
    <row r="4" spans="2:11" s="367" customFormat="1">
      <c r="B4" s="369" t="s">
        <v>481</v>
      </c>
      <c r="C4" s="365"/>
      <c r="D4" s="365">
        <v>2010</v>
      </c>
      <c r="F4" s="369" t="s">
        <v>322</v>
      </c>
      <c r="G4" s="369"/>
      <c r="H4" s="369"/>
      <c r="I4" s="365"/>
      <c r="J4" s="369"/>
      <c r="K4" s="369"/>
    </row>
    <row r="5" spans="2:11" s="376" customFormat="1" ht="15">
      <c r="B5" s="375" t="s">
        <v>289</v>
      </c>
      <c r="D5" s="421">
        <v>7.0999999999999994E-2</v>
      </c>
      <c r="F5" s="383"/>
      <c r="G5" s="423" t="s">
        <v>483</v>
      </c>
      <c r="H5" s="423"/>
      <c r="I5" s="384"/>
      <c r="J5" s="423" t="s">
        <v>484</v>
      </c>
      <c r="K5" s="423"/>
    </row>
    <row r="6" spans="2:11" s="376" customFormat="1" ht="15">
      <c r="B6" s="376" t="s">
        <v>288</v>
      </c>
      <c r="D6" s="421">
        <v>2.1000000000000001E-2</v>
      </c>
      <c r="F6" s="383"/>
      <c r="G6" s="386" t="s">
        <v>486</v>
      </c>
      <c r="H6" s="386" t="s">
        <v>487</v>
      </c>
      <c r="I6" s="385"/>
      <c r="J6" s="386" t="s">
        <v>500</v>
      </c>
      <c r="K6" s="386" t="s">
        <v>501</v>
      </c>
    </row>
    <row r="7" spans="2:11" s="376" customFormat="1" ht="15">
      <c r="B7" s="376" t="s">
        <v>287</v>
      </c>
      <c r="D7" s="378">
        <v>10337</v>
      </c>
      <c r="F7" s="379" t="s">
        <v>59</v>
      </c>
      <c r="G7" s="387">
        <f>PAM!G16/1000</f>
        <v>13525.567514757053</v>
      </c>
      <c r="H7" s="388">
        <f>PAM!$G$16/Summary!$D$7</f>
        <v>1308.4615957005951</v>
      </c>
      <c r="I7" s="380"/>
      <c r="J7" s="389">
        <v>82503.974903776616</v>
      </c>
      <c r="K7" s="390">
        <f>J7/D7</f>
        <v>7.9814235178268955</v>
      </c>
    </row>
    <row r="8" spans="2:11" s="376" customFormat="1" ht="15">
      <c r="B8" s="376" t="s">
        <v>308</v>
      </c>
      <c r="D8" s="377"/>
      <c r="F8" s="379" t="s">
        <v>60</v>
      </c>
      <c r="G8" s="387">
        <f>PAM!G17/1000</f>
        <v>199003.74470480683</v>
      </c>
      <c r="H8" s="388">
        <f>PAM!G17/Summary!$D$7</f>
        <v>19251.595695540953</v>
      </c>
      <c r="J8" s="389">
        <v>131845.54112434044</v>
      </c>
      <c r="K8" s="390">
        <f>J8/D7</f>
        <v>12.754720046855029</v>
      </c>
    </row>
    <row r="9" spans="2:11" s="376" customFormat="1" ht="15">
      <c r="B9" s="379" t="s">
        <v>59</v>
      </c>
      <c r="C9" s="375"/>
      <c r="D9" s="378">
        <v>75000</v>
      </c>
    </row>
    <row r="10" spans="2:11" s="376" customFormat="1" ht="15">
      <c r="B10" s="379" t="s">
        <v>286</v>
      </c>
      <c r="C10" s="375"/>
      <c r="D10" s="378">
        <v>75000</v>
      </c>
    </row>
    <row r="11" spans="2:11" s="376" customFormat="1" ht="15">
      <c r="F11" s="381"/>
    </row>
    <row r="12" spans="2:11" s="376" customFormat="1" ht="15">
      <c r="B12" s="376" t="s">
        <v>482</v>
      </c>
      <c r="F12" s="382"/>
      <c r="G12" s="378"/>
    </row>
    <row r="13" spans="2:11" s="376" customFormat="1" ht="15">
      <c r="B13" s="379" t="s">
        <v>502</v>
      </c>
      <c r="D13" s="450">
        <v>1597655.4902318683</v>
      </c>
      <c r="F13" s="382"/>
      <c r="G13" s="378"/>
    </row>
    <row r="14" spans="2:11" s="376" customFormat="1" ht="15">
      <c r="B14" s="379" t="s">
        <v>503</v>
      </c>
      <c r="D14" s="450">
        <v>1987241.5971068088</v>
      </c>
      <c r="F14" s="382"/>
      <c r="G14" s="378"/>
    </row>
    <row r="15" spans="2:11" s="366" customFormat="1"/>
    <row r="16" spans="2:11" s="372" customFormat="1" ht="13.2"/>
    <row r="17" spans="1:9" s="372" customFormat="1" ht="13.2">
      <c r="A17" s="373" t="s">
        <v>314</v>
      </c>
    </row>
    <row r="18" spans="1:9" s="372" customFormat="1" ht="13.2">
      <c r="A18" s="372">
        <v>1</v>
      </c>
      <c r="B18" s="372" t="s">
        <v>509</v>
      </c>
    </row>
    <row r="19" spans="1:9" s="372" customFormat="1" ht="13.2">
      <c r="A19" s="372">
        <v>2</v>
      </c>
      <c r="B19" s="372" t="s">
        <v>517</v>
      </c>
    </row>
    <row r="20" spans="1:9" s="372" customFormat="1" ht="13.2">
      <c r="A20" s="372">
        <v>3</v>
      </c>
      <c r="B20" s="372" t="s">
        <v>489</v>
      </c>
      <c r="F20" s="372">
        <v>322.5</v>
      </c>
      <c r="G20" s="372">
        <v>301.8</v>
      </c>
      <c r="H20" s="372">
        <v>301.10000000000002</v>
      </c>
      <c r="I20" s="372">
        <f>AVERAGE(F20:H20)</f>
        <v>308.46666666666664</v>
      </c>
    </row>
    <row r="21" spans="1:9" s="372" customFormat="1" ht="13.2">
      <c r="A21" s="372">
        <v>4</v>
      </c>
      <c r="B21" s="372" t="s">
        <v>490</v>
      </c>
    </row>
    <row r="22" spans="1:9" s="372" customFormat="1" ht="13.2">
      <c r="A22" s="372">
        <v>5</v>
      </c>
      <c r="B22" s="372" t="s">
        <v>511</v>
      </c>
    </row>
    <row r="23" spans="1:9" s="372" customFormat="1" ht="13.2">
      <c r="B23" s="372" t="s">
        <v>512</v>
      </c>
    </row>
    <row r="24" spans="1:9" s="372" customFormat="1" ht="13.2"/>
    <row r="25" spans="1:9" s="372" customFormat="1" ht="13.2"/>
    <row r="26" spans="1:9" s="372" customFormat="1" ht="13.2"/>
    <row r="27" spans="1:9" s="372" customFormat="1" ht="13.2">
      <c r="D27" s="374"/>
    </row>
    <row r="29" spans="1:9">
      <c r="D29" s="371"/>
    </row>
  </sheetData>
  <mergeCells count="2">
    <mergeCell ref="G5:H5"/>
    <mergeCell ref="J5:K5"/>
  </mergeCells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Y422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7" sqref="D7"/>
    </sheetView>
  </sheetViews>
  <sheetFormatPr defaultColWidth="9.109375" defaultRowHeight="10.199999999999999"/>
  <cols>
    <col min="1" max="1" width="2.33203125" style="179" customWidth="1"/>
    <col min="2" max="2" width="32" style="99" customWidth="1"/>
    <col min="3" max="3" width="20.33203125" style="217" bestFit="1" customWidth="1"/>
    <col min="4" max="7" width="8.6640625" style="99" bestFit="1" customWidth="1"/>
    <col min="8" max="28" width="7.88671875" style="99" bestFit="1" customWidth="1"/>
    <col min="29" max="29" width="10" style="99" bestFit="1" customWidth="1"/>
    <col min="30" max="16384" width="9.109375" style="99"/>
  </cols>
  <sheetData>
    <row r="1" spans="1:39" s="177" customFormat="1" ht="18">
      <c r="A1" s="175"/>
      <c r="B1" s="352" t="s">
        <v>350</v>
      </c>
      <c r="C1" s="176"/>
    </row>
    <row r="2" spans="1:39" s="177" customFormat="1" ht="18">
      <c r="A2" s="175"/>
      <c r="B2" s="36" t="s">
        <v>447</v>
      </c>
      <c r="C2" s="176"/>
    </row>
    <row r="3" spans="1:39" s="177" customFormat="1" ht="13.5" customHeight="1" thickBot="1">
      <c r="A3" s="178"/>
      <c r="C3" s="176"/>
    </row>
    <row r="4" spans="1:39" ht="24.75" customHeight="1" thickBot="1">
      <c r="B4" s="180" t="s">
        <v>29</v>
      </c>
      <c r="C4" s="181" t="s">
        <v>77</v>
      </c>
      <c r="D4" s="182">
        <v>1</v>
      </c>
      <c r="E4" s="183">
        <v>2</v>
      </c>
      <c r="F4" s="183">
        <v>3</v>
      </c>
      <c r="G4" s="183">
        <v>4</v>
      </c>
      <c r="H4" s="183">
        <v>5</v>
      </c>
      <c r="I4" s="183">
        <v>6</v>
      </c>
      <c r="J4" s="183">
        <v>7</v>
      </c>
      <c r="K4" s="183">
        <v>8</v>
      </c>
      <c r="L4" s="183">
        <v>9</v>
      </c>
      <c r="M4" s="183">
        <v>10</v>
      </c>
      <c r="N4" s="183">
        <v>11</v>
      </c>
      <c r="O4" s="183">
        <v>12</v>
      </c>
      <c r="P4" s="183">
        <v>13</v>
      </c>
      <c r="Q4" s="183">
        <v>14</v>
      </c>
      <c r="R4" s="183">
        <v>15</v>
      </c>
      <c r="S4" s="183">
        <v>16</v>
      </c>
      <c r="T4" s="183">
        <v>17</v>
      </c>
      <c r="U4" s="183">
        <v>18</v>
      </c>
      <c r="V4" s="183">
        <v>19</v>
      </c>
      <c r="W4" s="183">
        <v>20</v>
      </c>
      <c r="X4" s="183">
        <v>21</v>
      </c>
      <c r="Y4" s="183">
        <v>22</v>
      </c>
      <c r="Z4" s="183">
        <v>23</v>
      </c>
      <c r="AA4" s="183">
        <v>24</v>
      </c>
      <c r="AB4" s="183">
        <v>25</v>
      </c>
      <c r="AC4" s="183">
        <v>26</v>
      </c>
      <c r="AD4" s="183">
        <v>27</v>
      </c>
      <c r="AE4" s="183">
        <v>28</v>
      </c>
      <c r="AF4" s="183">
        <v>29</v>
      </c>
      <c r="AG4" s="183">
        <v>30</v>
      </c>
    </row>
    <row r="5" spans="1:39" ht="18">
      <c r="B5" s="184" t="s">
        <v>30</v>
      </c>
      <c r="C5" s="185"/>
      <c r="D5" s="186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8"/>
      <c r="AC5" s="188"/>
      <c r="AD5" s="188"/>
      <c r="AE5" s="188"/>
      <c r="AF5" s="188"/>
      <c r="AG5" s="188"/>
    </row>
    <row r="6" spans="1:39" ht="15.6">
      <c r="B6" s="189" t="s">
        <v>31</v>
      </c>
      <c r="C6" s="174"/>
      <c r="D6" s="190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2"/>
      <c r="AC6" s="192"/>
      <c r="AD6" s="192"/>
      <c r="AE6" s="192"/>
      <c r="AF6" s="192"/>
      <c r="AG6" s="192"/>
    </row>
    <row r="7" spans="1:39" s="97" customFormat="1" ht="13.8">
      <c r="A7" s="285"/>
      <c r="B7" s="238" t="s">
        <v>32</v>
      </c>
      <c r="C7" s="286" t="s">
        <v>76</v>
      </c>
      <c r="D7" s="287">
        <f>'Data Dasar'!$E$6</f>
        <v>12327.169711876319</v>
      </c>
      <c r="E7" s="241">
        <f>'Data Dasar'!$E$6</f>
        <v>12327.169711876319</v>
      </c>
      <c r="F7" s="241">
        <f>'Data Dasar'!$E$6</f>
        <v>12327.169711876319</v>
      </c>
      <c r="G7" s="241">
        <f>'Data Dasar'!$E$6</f>
        <v>12327.169711876319</v>
      </c>
      <c r="H7" s="241">
        <f>'Data Dasar'!$E$6</f>
        <v>12327.169711876319</v>
      </c>
      <c r="I7" s="241">
        <f>'Data Dasar'!$E$6</f>
        <v>12327.169711876319</v>
      </c>
      <c r="J7" s="241">
        <f>'Data Dasar'!$E$6</f>
        <v>12327.169711876319</v>
      </c>
      <c r="K7" s="241">
        <f>'Data Dasar'!$E$6</f>
        <v>12327.169711876319</v>
      </c>
      <c r="L7" s="241">
        <f>'Data Dasar'!$E$6</f>
        <v>12327.169711876319</v>
      </c>
      <c r="M7" s="241">
        <f>'Data Dasar'!$E$6</f>
        <v>12327.169711876319</v>
      </c>
      <c r="N7" s="241">
        <f>'Data Dasar'!$E$6</f>
        <v>12327.169711876319</v>
      </c>
      <c r="O7" s="241">
        <f>'Data Dasar'!$E$6</f>
        <v>12327.169711876319</v>
      </c>
      <c r="P7" s="241">
        <f>'Data Dasar'!$E$6</f>
        <v>12327.169711876319</v>
      </c>
      <c r="Q7" s="241">
        <f>'Data Dasar'!$E$6</f>
        <v>12327.169711876319</v>
      </c>
      <c r="R7" s="241">
        <f>'Data Dasar'!$E$6</f>
        <v>12327.169711876319</v>
      </c>
      <c r="S7" s="241">
        <f>'Data Dasar'!$E$6</f>
        <v>12327.169711876319</v>
      </c>
      <c r="T7" s="241">
        <f>'Data Dasar'!$E$6</f>
        <v>12327.169711876319</v>
      </c>
      <c r="U7" s="241">
        <f>'Data Dasar'!$E$6</f>
        <v>12327.169711876319</v>
      </c>
      <c r="V7" s="241">
        <f>'Data Dasar'!$E$6</f>
        <v>12327.169711876319</v>
      </c>
      <c r="W7" s="241">
        <f>'Data Dasar'!$E$6</f>
        <v>12327.169711876319</v>
      </c>
      <c r="X7" s="241">
        <f>'Data Dasar'!$E$6</f>
        <v>12327.169711876319</v>
      </c>
      <c r="Y7" s="241">
        <f>'Data Dasar'!$E$6</f>
        <v>12327.169711876319</v>
      </c>
      <c r="Z7" s="241">
        <f>'Data Dasar'!$E$6</f>
        <v>12327.169711876319</v>
      </c>
      <c r="AA7" s="241">
        <f>'Data Dasar'!$E$6</f>
        <v>12327.169711876319</v>
      </c>
      <c r="AB7" s="241">
        <f>'Data Dasar'!$E$6</f>
        <v>12327.169711876319</v>
      </c>
      <c r="AC7" s="241">
        <f>'Data Dasar'!$E$6</f>
        <v>12327.169711876319</v>
      </c>
      <c r="AD7" s="241">
        <f>'Data Dasar'!$E$6</f>
        <v>12327.169711876319</v>
      </c>
      <c r="AE7" s="241">
        <f>'Data Dasar'!$E$6</f>
        <v>12327.169711876319</v>
      </c>
      <c r="AF7" s="241">
        <f>'Data Dasar'!$E$6</f>
        <v>12327.169711876319</v>
      </c>
      <c r="AG7" s="241">
        <f>'Data Dasar'!$E$6</f>
        <v>12327.169711876319</v>
      </c>
      <c r="AH7" s="266"/>
      <c r="AI7" s="266"/>
      <c r="AJ7" s="266"/>
      <c r="AK7" s="266"/>
      <c r="AL7" s="266"/>
      <c r="AM7" s="266"/>
    </row>
    <row r="8" spans="1:39" s="97" customFormat="1" ht="13.8">
      <c r="A8" s="285"/>
      <c r="B8" s="238" t="s">
        <v>7</v>
      </c>
      <c r="C8" s="286" t="s">
        <v>76</v>
      </c>
      <c r="D8" s="287">
        <f>'Data Dasar'!$E$7</f>
        <v>280.16294799718906</v>
      </c>
      <c r="E8" s="241">
        <f>'Data Dasar'!$E$7</f>
        <v>280.16294799718906</v>
      </c>
      <c r="F8" s="241">
        <f>'Data Dasar'!$E$7</f>
        <v>280.16294799718906</v>
      </c>
      <c r="G8" s="241">
        <f>'Data Dasar'!$E$7</f>
        <v>280.16294799718906</v>
      </c>
      <c r="H8" s="241">
        <f>'Data Dasar'!$E$7</f>
        <v>280.16294799718906</v>
      </c>
      <c r="I8" s="241">
        <f>'Data Dasar'!$E$7</f>
        <v>280.16294799718906</v>
      </c>
      <c r="J8" s="241">
        <f>'Data Dasar'!$E$7</f>
        <v>280.16294799718906</v>
      </c>
      <c r="K8" s="241">
        <f>'Data Dasar'!$E$7</f>
        <v>280.16294799718906</v>
      </c>
      <c r="L8" s="241">
        <f>'Data Dasar'!$E$7</f>
        <v>280.16294799718906</v>
      </c>
      <c r="M8" s="241">
        <f>'Data Dasar'!$E$7</f>
        <v>280.16294799718906</v>
      </c>
      <c r="N8" s="241">
        <f>'Data Dasar'!$E$7</f>
        <v>280.16294799718906</v>
      </c>
      <c r="O8" s="241">
        <f>'Data Dasar'!$E$7</f>
        <v>280.16294799718906</v>
      </c>
      <c r="P8" s="241">
        <f>'Data Dasar'!$E$7</f>
        <v>280.16294799718906</v>
      </c>
      <c r="Q8" s="241">
        <f>'Data Dasar'!$E$7</f>
        <v>280.16294799718906</v>
      </c>
      <c r="R8" s="241">
        <f>'Data Dasar'!$E$7</f>
        <v>280.16294799718906</v>
      </c>
      <c r="S8" s="241">
        <f>'Data Dasar'!$E$7</f>
        <v>280.16294799718906</v>
      </c>
      <c r="T8" s="241">
        <f>'Data Dasar'!$E$7</f>
        <v>280.16294799718906</v>
      </c>
      <c r="U8" s="241">
        <f>'Data Dasar'!$E$7</f>
        <v>280.16294799718906</v>
      </c>
      <c r="V8" s="241">
        <f>'Data Dasar'!$E$7</f>
        <v>280.16294799718906</v>
      </c>
      <c r="W8" s="241">
        <f>'Data Dasar'!$E$7</f>
        <v>280.16294799718906</v>
      </c>
      <c r="X8" s="241">
        <f>'Data Dasar'!$E$7</f>
        <v>280.16294799718906</v>
      </c>
      <c r="Y8" s="241">
        <f>'Data Dasar'!$E$7</f>
        <v>280.16294799718906</v>
      </c>
      <c r="Z8" s="241">
        <f>'Data Dasar'!$E$7</f>
        <v>280.16294799718906</v>
      </c>
      <c r="AA8" s="241">
        <f>'Data Dasar'!$E$7</f>
        <v>280.16294799718906</v>
      </c>
      <c r="AB8" s="241">
        <f>'Data Dasar'!$E$7</f>
        <v>280.16294799718906</v>
      </c>
      <c r="AC8" s="241">
        <f>'Data Dasar'!$E$7</f>
        <v>280.16294799718906</v>
      </c>
      <c r="AD8" s="241">
        <f>'Data Dasar'!$E$7</f>
        <v>280.16294799718906</v>
      </c>
      <c r="AE8" s="241">
        <f>'Data Dasar'!$E$7</f>
        <v>280.16294799718906</v>
      </c>
      <c r="AF8" s="241">
        <f>'Data Dasar'!$E$7</f>
        <v>280.16294799718906</v>
      </c>
      <c r="AG8" s="241">
        <f>'Data Dasar'!$E$7</f>
        <v>280.16294799718906</v>
      </c>
      <c r="AH8" s="266"/>
      <c r="AI8" s="266"/>
      <c r="AJ8" s="266"/>
      <c r="AK8" s="266"/>
      <c r="AL8" s="266"/>
      <c r="AM8" s="266"/>
    </row>
    <row r="9" spans="1:39" s="97" customFormat="1" ht="13.8">
      <c r="A9" s="285"/>
      <c r="B9" s="238" t="s">
        <v>473</v>
      </c>
      <c r="C9" s="286" t="s">
        <v>75</v>
      </c>
      <c r="D9" s="287">
        <f>'Data Dasar'!$E$8</f>
        <v>23.035620168657768</v>
      </c>
      <c r="E9" s="241">
        <f>'Data Dasar'!$E$8</f>
        <v>23.035620168657768</v>
      </c>
      <c r="F9" s="241">
        <f>'Data Dasar'!$E$8</f>
        <v>23.035620168657768</v>
      </c>
      <c r="G9" s="241">
        <f>'Data Dasar'!$E$8</f>
        <v>23.035620168657768</v>
      </c>
      <c r="H9" s="241">
        <f>'Data Dasar'!$E$8</f>
        <v>23.035620168657768</v>
      </c>
      <c r="I9" s="241">
        <f>'Data Dasar'!$E$8</f>
        <v>23.035620168657768</v>
      </c>
      <c r="J9" s="241">
        <f>'Data Dasar'!$E$8</f>
        <v>23.035620168657768</v>
      </c>
      <c r="K9" s="241">
        <f>'Data Dasar'!$E$8</f>
        <v>23.035620168657768</v>
      </c>
      <c r="L9" s="241">
        <f>'Data Dasar'!$E$8</f>
        <v>23.035620168657768</v>
      </c>
      <c r="M9" s="241">
        <f>'Data Dasar'!$E$8</f>
        <v>23.035620168657768</v>
      </c>
      <c r="N9" s="241">
        <f>'Data Dasar'!$E$8</f>
        <v>23.035620168657768</v>
      </c>
      <c r="O9" s="241">
        <f>'Data Dasar'!$E$8</f>
        <v>23.035620168657768</v>
      </c>
      <c r="P9" s="241">
        <f>'Data Dasar'!$E$8</f>
        <v>23.035620168657768</v>
      </c>
      <c r="Q9" s="241">
        <f>'Data Dasar'!$E$8</f>
        <v>23.035620168657768</v>
      </c>
      <c r="R9" s="241">
        <f>'Data Dasar'!$E$8</f>
        <v>23.035620168657768</v>
      </c>
      <c r="S9" s="241">
        <f>'Data Dasar'!$E$8</f>
        <v>23.035620168657768</v>
      </c>
      <c r="T9" s="241">
        <f>'Data Dasar'!$E$8</f>
        <v>23.035620168657768</v>
      </c>
      <c r="U9" s="241">
        <f>'Data Dasar'!$E$8</f>
        <v>23.035620168657768</v>
      </c>
      <c r="V9" s="241">
        <f>'Data Dasar'!$E$8</f>
        <v>23.035620168657768</v>
      </c>
      <c r="W9" s="241">
        <f>'Data Dasar'!$E$8</f>
        <v>23.035620168657768</v>
      </c>
      <c r="X9" s="241">
        <f>'Data Dasar'!$E$8</f>
        <v>23.035620168657768</v>
      </c>
      <c r="Y9" s="241">
        <f>'Data Dasar'!$E$8</f>
        <v>23.035620168657768</v>
      </c>
      <c r="Z9" s="241">
        <f>'Data Dasar'!$E$8</f>
        <v>23.035620168657768</v>
      </c>
      <c r="AA9" s="241">
        <f>'Data Dasar'!$E$8</f>
        <v>23.035620168657768</v>
      </c>
      <c r="AB9" s="241">
        <f>'Data Dasar'!$E$8</f>
        <v>23.035620168657768</v>
      </c>
      <c r="AC9" s="241">
        <f>'Data Dasar'!$E$8</f>
        <v>23.035620168657768</v>
      </c>
      <c r="AD9" s="241">
        <f>'Data Dasar'!$E$8</f>
        <v>23.035620168657768</v>
      </c>
      <c r="AE9" s="241">
        <f>'Data Dasar'!$E$8</f>
        <v>23.035620168657768</v>
      </c>
      <c r="AF9" s="241">
        <f>'Data Dasar'!$E$8</f>
        <v>23.035620168657768</v>
      </c>
      <c r="AG9" s="241">
        <f>'Data Dasar'!$E$8</f>
        <v>23.035620168657768</v>
      </c>
      <c r="AH9" s="266"/>
      <c r="AI9" s="266"/>
      <c r="AJ9" s="266"/>
      <c r="AK9" s="266"/>
      <c r="AL9" s="266"/>
      <c r="AM9" s="266"/>
    </row>
    <row r="10" spans="1:39" s="97" customFormat="1" ht="13.8">
      <c r="A10" s="285"/>
      <c r="B10" s="238" t="s">
        <v>33</v>
      </c>
      <c r="C10" s="286" t="s">
        <v>34</v>
      </c>
      <c r="D10" s="287">
        <f>1</f>
        <v>1</v>
      </c>
      <c r="E10" s="241">
        <f>1</f>
        <v>1</v>
      </c>
      <c r="F10" s="241">
        <f>1</f>
        <v>1</v>
      </c>
      <c r="G10" s="241">
        <f>1</f>
        <v>1</v>
      </c>
      <c r="H10" s="241">
        <f>1</f>
        <v>1</v>
      </c>
      <c r="I10" s="241">
        <f>1</f>
        <v>1</v>
      </c>
      <c r="J10" s="241">
        <f>1</f>
        <v>1</v>
      </c>
      <c r="K10" s="241">
        <f>1</f>
        <v>1</v>
      </c>
      <c r="L10" s="241">
        <f>1</f>
        <v>1</v>
      </c>
      <c r="M10" s="241">
        <f>1</f>
        <v>1</v>
      </c>
      <c r="N10" s="241">
        <f>1</f>
        <v>1</v>
      </c>
      <c r="O10" s="241">
        <f>1</f>
        <v>1</v>
      </c>
      <c r="P10" s="241">
        <f>1</f>
        <v>1</v>
      </c>
      <c r="Q10" s="241">
        <f>1</f>
        <v>1</v>
      </c>
      <c r="R10" s="241">
        <f>1</f>
        <v>1</v>
      </c>
      <c r="S10" s="241">
        <f>1</f>
        <v>1</v>
      </c>
      <c r="T10" s="241">
        <f>1</f>
        <v>1</v>
      </c>
      <c r="U10" s="241">
        <f>1</f>
        <v>1</v>
      </c>
      <c r="V10" s="241">
        <f>1</f>
        <v>1</v>
      </c>
      <c r="W10" s="241">
        <f>1</f>
        <v>1</v>
      </c>
      <c r="X10" s="241">
        <f>1</f>
        <v>1</v>
      </c>
      <c r="Y10" s="241">
        <f>1</f>
        <v>1</v>
      </c>
      <c r="Z10" s="241">
        <f>1</f>
        <v>1</v>
      </c>
      <c r="AA10" s="241">
        <f>1</f>
        <v>1</v>
      </c>
      <c r="AB10" s="288">
        <f>1</f>
        <v>1</v>
      </c>
      <c r="AC10" s="288">
        <f>1</f>
        <v>1</v>
      </c>
      <c r="AD10" s="288">
        <f>1</f>
        <v>1</v>
      </c>
      <c r="AE10" s="288">
        <f>1</f>
        <v>1</v>
      </c>
      <c r="AF10" s="288">
        <f>1</f>
        <v>1</v>
      </c>
      <c r="AG10" s="288">
        <f>1</f>
        <v>1</v>
      </c>
      <c r="AH10" s="266"/>
      <c r="AI10" s="266"/>
      <c r="AJ10" s="266"/>
      <c r="AK10" s="266"/>
      <c r="AL10" s="266"/>
      <c r="AM10" s="266"/>
    </row>
    <row r="11" spans="1:39" s="97" customFormat="1" ht="13.8">
      <c r="A11" s="285"/>
      <c r="B11" s="238" t="s">
        <v>3</v>
      </c>
      <c r="C11" s="286" t="s">
        <v>34</v>
      </c>
      <c r="D11" s="287">
        <v>1</v>
      </c>
      <c r="E11" s="241">
        <v>1</v>
      </c>
      <c r="F11" s="241">
        <v>1</v>
      </c>
      <c r="G11" s="241">
        <v>1</v>
      </c>
      <c r="H11" s="241">
        <v>1</v>
      </c>
      <c r="I11" s="241">
        <v>1</v>
      </c>
      <c r="J11" s="241">
        <v>1</v>
      </c>
      <c r="K11" s="241">
        <v>1</v>
      </c>
      <c r="L11" s="241">
        <v>1</v>
      </c>
      <c r="M11" s="241">
        <v>1</v>
      </c>
      <c r="N11" s="241">
        <v>1</v>
      </c>
      <c r="O11" s="241">
        <v>1</v>
      </c>
      <c r="P11" s="241">
        <v>1</v>
      </c>
      <c r="Q11" s="241">
        <v>1</v>
      </c>
      <c r="R11" s="241">
        <v>1</v>
      </c>
      <c r="S11" s="241">
        <v>1</v>
      </c>
      <c r="T11" s="241">
        <v>1</v>
      </c>
      <c r="U11" s="241">
        <v>1</v>
      </c>
      <c r="V11" s="241">
        <v>1</v>
      </c>
      <c r="W11" s="241">
        <v>1</v>
      </c>
      <c r="X11" s="241">
        <v>1</v>
      </c>
      <c r="Y11" s="241">
        <v>1</v>
      </c>
      <c r="Z11" s="241">
        <v>1</v>
      </c>
      <c r="AA11" s="241">
        <v>1</v>
      </c>
      <c r="AB11" s="288">
        <v>1</v>
      </c>
      <c r="AC11" s="288">
        <v>2</v>
      </c>
      <c r="AD11" s="288">
        <v>3</v>
      </c>
      <c r="AE11" s="288">
        <v>4</v>
      </c>
      <c r="AF11" s="288">
        <v>5</v>
      </c>
      <c r="AG11" s="288">
        <v>6</v>
      </c>
      <c r="AH11" s="266"/>
      <c r="AI11" s="266"/>
      <c r="AJ11" s="266"/>
      <c r="AK11" s="266"/>
      <c r="AL11" s="266"/>
      <c r="AM11" s="266"/>
    </row>
    <row r="12" spans="1:39">
      <c r="B12" s="196"/>
      <c r="C12" s="174"/>
      <c r="D12" s="197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9"/>
      <c r="AC12" s="199"/>
      <c r="AD12" s="199"/>
      <c r="AE12" s="199"/>
      <c r="AF12" s="199"/>
      <c r="AG12" s="199"/>
      <c r="AH12" s="194"/>
      <c r="AI12" s="194"/>
      <c r="AJ12" s="194"/>
      <c r="AK12" s="194"/>
      <c r="AL12" s="194"/>
      <c r="AM12" s="194"/>
    </row>
    <row r="13" spans="1:39" ht="15.6">
      <c r="B13" s="189" t="s">
        <v>35</v>
      </c>
      <c r="C13" s="174"/>
      <c r="D13" s="197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9"/>
      <c r="AC13" s="199"/>
      <c r="AD13" s="199"/>
      <c r="AE13" s="199"/>
      <c r="AF13" s="199"/>
      <c r="AG13" s="199"/>
      <c r="AH13" s="194"/>
      <c r="AI13" s="194"/>
      <c r="AJ13" s="194"/>
      <c r="AK13" s="194"/>
      <c r="AL13" s="194"/>
      <c r="AM13" s="194"/>
    </row>
    <row r="14" spans="1:39" s="206" customFormat="1">
      <c r="A14" s="200"/>
      <c r="B14" s="201" t="s">
        <v>4</v>
      </c>
      <c r="C14" s="202" t="s">
        <v>36</v>
      </c>
      <c r="D14" s="203">
        <v>1</v>
      </c>
      <c r="E14" s="204"/>
      <c r="F14" s="204"/>
      <c r="G14" s="204"/>
      <c r="H14" s="204"/>
      <c r="I14" s="204"/>
      <c r="J14" s="204"/>
      <c r="K14" s="204"/>
      <c r="L14" s="204"/>
      <c r="M14" s="204"/>
      <c r="N14" s="204">
        <v>1</v>
      </c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>
        <v>1</v>
      </c>
      <c r="Z14" s="204"/>
      <c r="AA14" s="204"/>
      <c r="AB14" s="205"/>
      <c r="AC14" s="205"/>
      <c r="AD14" s="205"/>
      <c r="AE14" s="205"/>
      <c r="AF14" s="205"/>
      <c r="AG14" s="205"/>
    </row>
    <row r="15" spans="1:39" s="206" customFormat="1">
      <c r="A15" s="200"/>
      <c r="B15" s="201" t="s">
        <v>5</v>
      </c>
      <c r="C15" s="202" t="s">
        <v>37</v>
      </c>
      <c r="D15" s="203">
        <v>1</v>
      </c>
      <c r="E15" s="204"/>
      <c r="F15" s="204"/>
      <c r="G15" s="204"/>
      <c r="H15" s="204"/>
      <c r="I15" s="204">
        <v>1</v>
      </c>
      <c r="J15" s="204"/>
      <c r="K15" s="204"/>
      <c r="L15" s="204"/>
      <c r="M15" s="204"/>
      <c r="N15" s="204">
        <v>1</v>
      </c>
      <c r="O15" s="204"/>
      <c r="P15" s="204"/>
      <c r="Q15" s="204"/>
      <c r="R15" s="204"/>
      <c r="S15" s="204">
        <v>1</v>
      </c>
      <c r="T15" s="204"/>
      <c r="U15" s="204"/>
      <c r="V15" s="204"/>
      <c r="W15" s="204"/>
      <c r="X15" s="204"/>
      <c r="Y15" s="204">
        <v>1</v>
      </c>
      <c r="Z15" s="204"/>
      <c r="AA15" s="204"/>
      <c r="AB15" s="205"/>
      <c r="AC15" s="205"/>
      <c r="AD15" s="205"/>
      <c r="AE15" s="205"/>
      <c r="AF15" s="205"/>
      <c r="AG15" s="205"/>
    </row>
    <row r="16" spans="1:39">
      <c r="B16" s="193"/>
      <c r="C16" s="174"/>
      <c r="D16" s="197"/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9"/>
      <c r="AC16" s="199"/>
      <c r="AD16" s="199"/>
      <c r="AE16" s="199"/>
      <c r="AF16" s="199"/>
      <c r="AG16" s="199"/>
      <c r="AH16" s="194"/>
      <c r="AI16" s="194"/>
      <c r="AJ16" s="194"/>
      <c r="AK16" s="194"/>
      <c r="AL16" s="194"/>
      <c r="AM16" s="194"/>
    </row>
    <row r="17" spans="1:51" ht="18">
      <c r="B17" s="207" t="s">
        <v>38</v>
      </c>
      <c r="C17" s="174"/>
      <c r="D17" s="197"/>
      <c r="E17" s="198"/>
      <c r="F17" s="198"/>
      <c r="G17" s="198"/>
      <c r="H17" s="198"/>
      <c r="I17" s="198"/>
      <c r="J17" s="198"/>
      <c r="K17" s="198"/>
      <c r="L17" s="198"/>
      <c r="M17" s="198"/>
      <c r="N17" s="198"/>
      <c r="O17" s="198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  <c r="AA17" s="198"/>
      <c r="AB17" s="199"/>
      <c r="AC17" s="199"/>
      <c r="AD17" s="199"/>
      <c r="AE17" s="199"/>
      <c r="AF17" s="199"/>
      <c r="AG17" s="199"/>
      <c r="AH17" s="194"/>
      <c r="AI17" s="194"/>
      <c r="AJ17" s="194"/>
      <c r="AK17" s="194"/>
      <c r="AL17" s="194"/>
      <c r="AM17" s="194"/>
    </row>
    <row r="18" spans="1:51" ht="15.6">
      <c r="B18" s="189" t="s">
        <v>39</v>
      </c>
      <c r="C18" s="174"/>
      <c r="D18" s="197"/>
      <c r="E18" s="198"/>
      <c r="F18" s="198"/>
      <c r="G18" s="198"/>
      <c r="H18" s="198"/>
      <c r="I18" s="198"/>
      <c r="J18" s="198"/>
      <c r="K18" s="198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  <c r="AA18" s="198"/>
      <c r="AB18" s="199"/>
      <c r="AC18" s="199"/>
      <c r="AD18" s="199"/>
      <c r="AE18" s="199"/>
      <c r="AF18" s="199"/>
      <c r="AG18" s="199"/>
      <c r="AH18" s="194"/>
      <c r="AI18" s="194"/>
      <c r="AJ18" s="194"/>
      <c r="AK18" s="194"/>
      <c r="AL18" s="194"/>
      <c r="AM18" s="194"/>
    </row>
    <row r="19" spans="1:51" s="97" customFormat="1" ht="13.8">
      <c r="A19" s="285"/>
      <c r="B19" s="289" t="s">
        <v>40</v>
      </c>
      <c r="C19" s="286"/>
      <c r="D19" s="287" t="s">
        <v>0</v>
      </c>
      <c r="E19" s="241" t="s">
        <v>0</v>
      </c>
      <c r="F19" s="241" t="s">
        <v>0</v>
      </c>
      <c r="G19" s="241" t="s">
        <v>0</v>
      </c>
      <c r="H19" s="241" t="s">
        <v>0</v>
      </c>
      <c r="I19" s="241" t="s">
        <v>0</v>
      </c>
      <c r="J19" s="241" t="s">
        <v>0</v>
      </c>
      <c r="K19" s="241" t="s">
        <v>0</v>
      </c>
      <c r="L19" s="241" t="s">
        <v>0</v>
      </c>
      <c r="M19" s="241" t="s">
        <v>0</v>
      </c>
      <c r="N19" s="241" t="s">
        <v>0</v>
      </c>
      <c r="O19" s="241" t="s">
        <v>0</v>
      </c>
      <c r="P19" s="241" t="s">
        <v>0</v>
      </c>
      <c r="Q19" s="241" t="s">
        <v>0</v>
      </c>
      <c r="R19" s="241" t="s">
        <v>0</v>
      </c>
      <c r="S19" s="241" t="s">
        <v>0</v>
      </c>
      <c r="T19" s="241" t="s">
        <v>0</v>
      </c>
      <c r="U19" s="241" t="s">
        <v>0</v>
      </c>
      <c r="V19" s="241" t="s">
        <v>0</v>
      </c>
      <c r="W19" s="241" t="s">
        <v>0</v>
      </c>
      <c r="X19" s="241" t="s">
        <v>0</v>
      </c>
      <c r="Y19" s="241" t="s">
        <v>0</v>
      </c>
      <c r="Z19" s="241" t="s">
        <v>0</v>
      </c>
      <c r="AA19" s="241" t="s">
        <v>0</v>
      </c>
      <c r="AB19" s="288" t="s">
        <v>0</v>
      </c>
      <c r="AC19" s="288" t="s">
        <v>0</v>
      </c>
      <c r="AD19" s="288" t="s">
        <v>0</v>
      </c>
      <c r="AE19" s="288" t="s">
        <v>0</v>
      </c>
      <c r="AF19" s="288" t="s">
        <v>0</v>
      </c>
      <c r="AG19" s="288" t="s">
        <v>0</v>
      </c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</row>
    <row r="20" spans="1:51" s="97" customFormat="1" ht="13.8">
      <c r="A20" s="285"/>
      <c r="B20" s="290" t="s">
        <v>79</v>
      </c>
      <c r="C20" s="286"/>
      <c r="D20" s="291">
        <f>'Data Dasar'!$E$140</f>
        <v>16</v>
      </c>
      <c r="E20" s="292">
        <f>'Data Dasar'!$E$140</f>
        <v>16</v>
      </c>
      <c r="F20" s="292">
        <f>'Data Dasar'!$E$140</f>
        <v>16</v>
      </c>
      <c r="G20" s="292">
        <f>'Data Dasar'!$E$140</f>
        <v>16</v>
      </c>
      <c r="H20" s="292">
        <f>'Data Dasar'!$E$140</f>
        <v>16</v>
      </c>
      <c r="I20" s="292">
        <f>'Data Dasar'!$E$140</f>
        <v>16</v>
      </c>
      <c r="J20" s="292">
        <f>'Data Dasar'!$E$140</f>
        <v>16</v>
      </c>
      <c r="K20" s="292">
        <f>'Data Dasar'!$E$140</f>
        <v>16</v>
      </c>
      <c r="L20" s="292">
        <f>'Data Dasar'!$E$140</f>
        <v>16</v>
      </c>
      <c r="M20" s="292">
        <f>'Data Dasar'!$E$140</f>
        <v>16</v>
      </c>
      <c r="N20" s="292">
        <f>'Data Dasar'!$E$140</f>
        <v>16</v>
      </c>
      <c r="O20" s="292">
        <f>'Data Dasar'!$E$140</f>
        <v>16</v>
      </c>
      <c r="P20" s="292">
        <f>'Data Dasar'!$E$140</f>
        <v>16</v>
      </c>
      <c r="Q20" s="292">
        <f>'Data Dasar'!$E$140</f>
        <v>16</v>
      </c>
      <c r="R20" s="292">
        <f>'Data Dasar'!$E$140</f>
        <v>16</v>
      </c>
      <c r="S20" s="292">
        <f>'Data Dasar'!$E$140</f>
        <v>16</v>
      </c>
      <c r="T20" s="292">
        <f>'Data Dasar'!$E$140</f>
        <v>16</v>
      </c>
      <c r="U20" s="292">
        <f>'Data Dasar'!$E$140</f>
        <v>16</v>
      </c>
      <c r="V20" s="292">
        <f>'Data Dasar'!$E$140</f>
        <v>16</v>
      </c>
      <c r="W20" s="292">
        <f>'Data Dasar'!$E$140</f>
        <v>16</v>
      </c>
      <c r="X20" s="292">
        <f>'Data Dasar'!$E$140</f>
        <v>16</v>
      </c>
      <c r="Y20" s="292">
        <f>'Data Dasar'!$E$140</f>
        <v>16</v>
      </c>
      <c r="Z20" s="292">
        <f>'Data Dasar'!$E$140</f>
        <v>16</v>
      </c>
      <c r="AA20" s="292">
        <f>'Data Dasar'!$E$140</f>
        <v>16</v>
      </c>
      <c r="AB20" s="292">
        <f>'Data Dasar'!$E$140</f>
        <v>16</v>
      </c>
      <c r="AC20" s="292">
        <f>'Data Dasar'!$E$140</f>
        <v>16</v>
      </c>
      <c r="AD20" s="292">
        <f>'Data Dasar'!$E$140</f>
        <v>16</v>
      </c>
      <c r="AE20" s="292">
        <f>'Data Dasar'!$E$140</f>
        <v>16</v>
      </c>
      <c r="AF20" s="292">
        <f>'Data Dasar'!$E$140</f>
        <v>16</v>
      </c>
      <c r="AG20" s="292">
        <f>'Data Dasar'!$E$140</f>
        <v>16</v>
      </c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</row>
    <row r="21" spans="1:51" s="97" customFormat="1" ht="13.8">
      <c r="A21" s="285"/>
      <c r="B21" s="290" t="s">
        <v>41</v>
      </c>
      <c r="C21" s="286"/>
      <c r="D21" s="287" t="s">
        <v>0</v>
      </c>
      <c r="E21" s="241" t="s">
        <v>0</v>
      </c>
      <c r="F21" s="241" t="s">
        <v>0</v>
      </c>
      <c r="G21" s="241" t="s">
        <v>0</v>
      </c>
      <c r="H21" s="241" t="s">
        <v>0</v>
      </c>
      <c r="I21" s="241" t="s">
        <v>0</v>
      </c>
      <c r="J21" s="241" t="s">
        <v>0</v>
      </c>
      <c r="K21" s="241" t="s">
        <v>0</v>
      </c>
      <c r="L21" s="241" t="s">
        <v>0</v>
      </c>
      <c r="M21" s="241" t="s">
        <v>0</v>
      </c>
      <c r="N21" s="241" t="s">
        <v>0</v>
      </c>
      <c r="O21" s="241" t="s">
        <v>0</v>
      </c>
      <c r="P21" s="241" t="s">
        <v>0</v>
      </c>
      <c r="Q21" s="241" t="s">
        <v>0</v>
      </c>
      <c r="R21" s="241" t="s">
        <v>0</v>
      </c>
      <c r="S21" s="241" t="s">
        <v>0</v>
      </c>
      <c r="T21" s="241" t="s">
        <v>0</v>
      </c>
      <c r="U21" s="241" t="s">
        <v>0</v>
      </c>
      <c r="V21" s="241" t="s">
        <v>0</v>
      </c>
      <c r="W21" s="241" t="s">
        <v>0</v>
      </c>
      <c r="X21" s="241" t="s">
        <v>0</v>
      </c>
      <c r="Y21" s="241" t="s">
        <v>0</v>
      </c>
      <c r="Z21" s="241" t="s">
        <v>0</v>
      </c>
      <c r="AA21" s="241" t="s">
        <v>0</v>
      </c>
      <c r="AB21" s="288" t="s">
        <v>0</v>
      </c>
      <c r="AC21" s="288" t="s">
        <v>0</v>
      </c>
      <c r="AD21" s="288" t="s">
        <v>0</v>
      </c>
      <c r="AE21" s="288" t="s">
        <v>0</v>
      </c>
      <c r="AF21" s="288" t="s">
        <v>0</v>
      </c>
      <c r="AG21" s="288" t="s">
        <v>0</v>
      </c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</row>
    <row r="22" spans="1:51" s="97" customFormat="1" ht="13.8">
      <c r="A22" s="285"/>
      <c r="B22" s="283" t="s">
        <v>8</v>
      </c>
      <c r="C22" s="286" t="s">
        <v>42</v>
      </c>
      <c r="D22" s="287">
        <f>D66</f>
        <v>1500</v>
      </c>
      <c r="E22" s="241">
        <f t="shared" ref="E22:AB22" si="0">E66</f>
        <v>1500</v>
      </c>
      <c r="F22" s="241">
        <f t="shared" si="0"/>
        <v>1500</v>
      </c>
      <c r="G22" s="241">
        <f t="shared" si="0"/>
        <v>1500</v>
      </c>
      <c r="H22" s="241">
        <f t="shared" si="0"/>
        <v>1500</v>
      </c>
      <c r="I22" s="241">
        <f t="shared" si="0"/>
        <v>1500</v>
      </c>
      <c r="J22" s="241">
        <f t="shared" si="0"/>
        <v>1500</v>
      </c>
      <c r="K22" s="241">
        <f t="shared" si="0"/>
        <v>1500</v>
      </c>
      <c r="L22" s="241">
        <f t="shared" si="0"/>
        <v>1500</v>
      </c>
      <c r="M22" s="241">
        <f t="shared" si="0"/>
        <v>1500</v>
      </c>
      <c r="N22" s="241">
        <f t="shared" si="0"/>
        <v>1500</v>
      </c>
      <c r="O22" s="241">
        <f t="shared" si="0"/>
        <v>1500</v>
      </c>
      <c r="P22" s="241">
        <f t="shared" si="0"/>
        <v>1500</v>
      </c>
      <c r="Q22" s="241">
        <f t="shared" si="0"/>
        <v>1500</v>
      </c>
      <c r="R22" s="241">
        <f t="shared" si="0"/>
        <v>1500</v>
      </c>
      <c r="S22" s="241">
        <f t="shared" si="0"/>
        <v>1500</v>
      </c>
      <c r="T22" s="241">
        <f t="shared" si="0"/>
        <v>1500</v>
      </c>
      <c r="U22" s="241">
        <f t="shared" si="0"/>
        <v>1500</v>
      </c>
      <c r="V22" s="241">
        <f t="shared" si="0"/>
        <v>1500</v>
      </c>
      <c r="W22" s="241">
        <f t="shared" si="0"/>
        <v>1500</v>
      </c>
      <c r="X22" s="241">
        <f t="shared" si="0"/>
        <v>1500</v>
      </c>
      <c r="Y22" s="241">
        <f t="shared" si="0"/>
        <v>1500</v>
      </c>
      <c r="Z22" s="241">
        <f t="shared" si="0"/>
        <v>1500</v>
      </c>
      <c r="AA22" s="241">
        <f t="shared" si="0"/>
        <v>1500</v>
      </c>
      <c r="AB22" s="241">
        <f t="shared" si="0"/>
        <v>1500</v>
      </c>
      <c r="AC22" s="241">
        <f t="shared" ref="AC22:AG22" si="1">AC66</f>
        <v>1500</v>
      </c>
      <c r="AD22" s="241">
        <f t="shared" si="1"/>
        <v>1500</v>
      </c>
      <c r="AE22" s="241">
        <f t="shared" si="1"/>
        <v>1500</v>
      </c>
      <c r="AF22" s="241">
        <f t="shared" si="1"/>
        <v>1500</v>
      </c>
      <c r="AG22" s="241">
        <f t="shared" si="1"/>
        <v>1500</v>
      </c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</row>
    <row r="23" spans="1:51" s="97" customFormat="1" ht="13.8">
      <c r="A23" s="285"/>
      <c r="B23" s="172" t="s">
        <v>439</v>
      </c>
      <c r="C23" s="286" t="s">
        <v>43</v>
      </c>
      <c r="D23" s="287">
        <f t="shared" ref="D23:M26" si="2">D$72</f>
        <v>27000</v>
      </c>
      <c r="E23" s="241">
        <f t="shared" si="2"/>
        <v>27000</v>
      </c>
      <c r="F23" s="241">
        <f t="shared" si="2"/>
        <v>27000</v>
      </c>
      <c r="G23" s="241">
        <f t="shared" si="2"/>
        <v>27000</v>
      </c>
      <c r="H23" s="241">
        <f t="shared" si="2"/>
        <v>27000</v>
      </c>
      <c r="I23" s="241">
        <f t="shared" si="2"/>
        <v>27000</v>
      </c>
      <c r="J23" s="241">
        <f t="shared" si="2"/>
        <v>27000</v>
      </c>
      <c r="K23" s="241">
        <f t="shared" si="2"/>
        <v>27000</v>
      </c>
      <c r="L23" s="241">
        <f t="shared" si="2"/>
        <v>27000</v>
      </c>
      <c r="M23" s="241">
        <f t="shared" si="2"/>
        <v>27000</v>
      </c>
      <c r="N23" s="241">
        <f t="shared" ref="N23:AC26" si="3">N$72</f>
        <v>27000</v>
      </c>
      <c r="O23" s="241">
        <f t="shared" si="3"/>
        <v>27000</v>
      </c>
      <c r="P23" s="241">
        <f t="shared" si="3"/>
        <v>27000</v>
      </c>
      <c r="Q23" s="241">
        <f t="shared" si="3"/>
        <v>27000</v>
      </c>
      <c r="R23" s="241">
        <f t="shared" si="3"/>
        <v>27000</v>
      </c>
      <c r="S23" s="241">
        <f t="shared" si="3"/>
        <v>27000</v>
      </c>
      <c r="T23" s="241">
        <f t="shared" si="3"/>
        <v>27000</v>
      </c>
      <c r="U23" s="241">
        <f t="shared" si="3"/>
        <v>27000</v>
      </c>
      <c r="V23" s="241">
        <f t="shared" si="3"/>
        <v>27000</v>
      </c>
      <c r="W23" s="241">
        <f t="shared" si="3"/>
        <v>27000</v>
      </c>
      <c r="X23" s="241">
        <f t="shared" si="3"/>
        <v>27000</v>
      </c>
      <c r="Y23" s="241">
        <f t="shared" si="3"/>
        <v>27000</v>
      </c>
      <c r="Z23" s="241">
        <f t="shared" si="3"/>
        <v>27000</v>
      </c>
      <c r="AA23" s="241">
        <f t="shared" si="3"/>
        <v>27000</v>
      </c>
      <c r="AB23" s="288">
        <f t="shared" si="3"/>
        <v>27000</v>
      </c>
      <c r="AC23" s="288">
        <f t="shared" si="3"/>
        <v>27000</v>
      </c>
      <c r="AD23" s="288">
        <f t="shared" ref="AC23:AG26" si="4">AD$72</f>
        <v>27000</v>
      </c>
      <c r="AE23" s="288">
        <f t="shared" si="4"/>
        <v>27000</v>
      </c>
      <c r="AF23" s="288">
        <f t="shared" si="4"/>
        <v>27000</v>
      </c>
      <c r="AG23" s="288">
        <f t="shared" si="4"/>
        <v>27000</v>
      </c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</row>
    <row r="24" spans="1:51" s="97" customFormat="1" ht="13.8">
      <c r="A24" s="285"/>
      <c r="B24" s="173" t="s">
        <v>428</v>
      </c>
      <c r="C24" s="286" t="s">
        <v>43</v>
      </c>
      <c r="D24" s="287">
        <f t="shared" si="2"/>
        <v>27000</v>
      </c>
      <c r="E24" s="241">
        <f t="shared" si="2"/>
        <v>27000</v>
      </c>
      <c r="F24" s="241">
        <f t="shared" si="2"/>
        <v>27000</v>
      </c>
      <c r="G24" s="241">
        <f t="shared" si="2"/>
        <v>27000</v>
      </c>
      <c r="H24" s="241">
        <f t="shared" si="2"/>
        <v>27000</v>
      </c>
      <c r="I24" s="241">
        <f t="shared" si="2"/>
        <v>27000</v>
      </c>
      <c r="J24" s="241">
        <f t="shared" si="2"/>
        <v>27000</v>
      </c>
      <c r="K24" s="241">
        <f t="shared" si="2"/>
        <v>27000</v>
      </c>
      <c r="L24" s="241">
        <f t="shared" si="2"/>
        <v>27000</v>
      </c>
      <c r="M24" s="241">
        <f t="shared" si="2"/>
        <v>27000</v>
      </c>
      <c r="N24" s="241">
        <f t="shared" si="3"/>
        <v>27000</v>
      </c>
      <c r="O24" s="241">
        <f t="shared" si="3"/>
        <v>27000</v>
      </c>
      <c r="P24" s="241">
        <f t="shared" si="3"/>
        <v>27000</v>
      </c>
      <c r="Q24" s="241">
        <f t="shared" si="3"/>
        <v>27000</v>
      </c>
      <c r="R24" s="241">
        <f t="shared" si="3"/>
        <v>27000</v>
      </c>
      <c r="S24" s="241">
        <f t="shared" si="3"/>
        <v>27000</v>
      </c>
      <c r="T24" s="241">
        <f t="shared" si="3"/>
        <v>27000</v>
      </c>
      <c r="U24" s="241">
        <f t="shared" si="3"/>
        <v>27000</v>
      </c>
      <c r="V24" s="241">
        <f t="shared" si="3"/>
        <v>27000</v>
      </c>
      <c r="W24" s="241">
        <f t="shared" si="3"/>
        <v>27000</v>
      </c>
      <c r="X24" s="241">
        <f t="shared" si="3"/>
        <v>27000</v>
      </c>
      <c r="Y24" s="241">
        <f t="shared" si="3"/>
        <v>27000</v>
      </c>
      <c r="Z24" s="241">
        <f t="shared" si="3"/>
        <v>27000</v>
      </c>
      <c r="AA24" s="241">
        <f t="shared" si="3"/>
        <v>27000</v>
      </c>
      <c r="AB24" s="288">
        <f t="shared" si="3"/>
        <v>27000</v>
      </c>
      <c r="AC24" s="288">
        <f t="shared" si="4"/>
        <v>27000</v>
      </c>
      <c r="AD24" s="288">
        <f t="shared" si="4"/>
        <v>27000</v>
      </c>
      <c r="AE24" s="288">
        <f t="shared" si="4"/>
        <v>27000</v>
      </c>
      <c r="AF24" s="288">
        <f t="shared" si="4"/>
        <v>27000</v>
      </c>
      <c r="AG24" s="288">
        <f t="shared" si="4"/>
        <v>27000</v>
      </c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</row>
    <row r="25" spans="1:51" s="97" customFormat="1" ht="13.8">
      <c r="A25" s="285"/>
      <c r="B25" s="283" t="s">
        <v>12</v>
      </c>
      <c r="C25" s="286" t="s">
        <v>43</v>
      </c>
      <c r="D25" s="287">
        <f t="shared" si="2"/>
        <v>27000</v>
      </c>
      <c r="E25" s="241">
        <f t="shared" si="2"/>
        <v>27000</v>
      </c>
      <c r="F25" s="241">
        <f t="shared" si="2"/>
        <v>27000</v>
      </c>
      <c r="G25" s="241">
        <f t="shared" si="2"/>
        <v>27000</v>
      </c>
      <c r="H25" s="241">
        <f t="shared" si="2"/>
        <v>27000</v>
      </c>
      <c r="I25" s="241">
        <f t="shared" si="2"/>
        <v>27000</v>
      </c>
      <c r="J25" s="241">
        <f t="shared" si="2"/>
        <v>27000</v>
      </c>
      <c r="K25" s="241">
        <f t="shared" si="2"/>
        <v>27000</v>
      </c>
      <c r="L25" s="241">
        <f t="shared" si="2"/>
        <v>27000</v>
      </c>
      <c r="M25" s="241">
        <f t="shared" si="2"/>
        <v>27000</v>
      </c>
      <c r="N25" s="241">
        <f t="shared" si="3"/>
        <v>27000</v>
      </c>
      <c r="O25" s="241">
        <f t="shared" si="3"/>
        <v>27000</v>
      </c>
      <c r="P25" s="241">
        <f t="shared" si="3"/>
        <v>27000</v>
      </c>
      <c r="Q25" s="241">
        <f t="shared" si="3"/>
        <v>27000</v>
      </c>
      <c r="R25" s="241">
        <f t="shared" si="3"/>
        <v>27000</v>
      </c>
      <c r="S25" s="241">
        <f t="shared" si="3"/>
        <v>27000</v>
      </c>
      <c r="T25" s="241">
        <f t="shared" si="3"/>
        <v>27000</v>
      </c>
      <c r="U25" s="241">
        <f t="shared" si="3"/>
        <v>27000</v>
      </c>
      <c r="V25" s="241">
        <f t="shared" si="3"/>
        <v>27000</v>
      </c>
      <c r="W25" s="241">
        <f t="shared" si="3"/>
        <v>27000</v>
      </c>
      <c r="X25" s="241">
        <f t="shared" si="3"/>
        <v>27000</v>
      </c>
      <c r="Y25" s="241">
        <f t="shared" si="3"/>
        <v>27000</v>
      </c>
      <c r="Z25" s="241">
        <f t="shared" si="3"/>
        <v>27000</v>
      </c>
      <c r="AA25" s="241">
        <f t="shared" si="3"/>
        <v>27000</v>
      </c>
      <c r="AB25" s="288">
        <f t="shared" si="3"/>
        <v>27000</v>
      </c>
      <c r="AC25" s="288">
        <f t="shared" si="4"/>
        <v>27000</v>
      </c>
      <c r="AD25" s="288">
        <f t="shared" si="4"/>
        <v>27000</v>
      </c>
      <c r="AE25" s="288">
        <f t="shared" si="4"/>
        <v>27000</v>
      </c>
      <c r="AF25" s="288">
        <f t="shared" si="4"/>
        <v>27000</v>
      </c>
      <c r="AG25" s="288">
        <f t="shared" si="4"/>
        <v>27000</v>
      </c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</row>
    <row r="26" spans="1:51" s="97" customFormat="1" ht="13.8">
      <c r="A26" s="285"/>
      <c r="B26" s="283" t="s">
        <v>442</v>
      </c>
      <c r="C26" s="286" t="s">
        <v>43</v>
      </c>
      <c r="D26" s="287">
        <f t="shared" si="2"/>
        <v>27000</v>
      </c>
      <c r="E26" s="241">
        <f t="shared" si="2"/>
        <v>27000</v>
      </c>
      <c r="F26" s="241">
        <f t="shared" si="2"/>
        <v>27000</v>
      </c>
      <c r="G26" s="241">
        <f t="shared" si="2"/>
        <v>27000</v>
      </c>
      <c r="H26" s="241">
        <f t="shared" si="2"/>
        <v>27000</v>
      </c>
      <c r="I26" s="241">
        <f t="shared" si="2"/>
        <v>27000</v>
      </c>
      <c r="J26" s="241">
        <f t="shared" si="2"/>
        <v>27000</v>
      </c>
      <c r="K26" s="241">
        <f t="shared" si="2"/>
        <v>27000</v>
      </c>
      <c r="L26" s="241">
        <f t="shared" si="2"/>
        <v>27000</v>
      </c>
      <c r="M26" s="241">
        <f t="shared" si="2"/>
        <v>27000</v>
      </c>
      <c r="N26" s="241">
        <f t="shared" si="3"/>
        <v>27000</v>
      </c>
      <c r="O26" s="241">
        <f t="shared" si="3"/>
        <v>27000</v>
      </c>
      <c r="P26" s="241">
        <f t="shared" si="3"/>
        <v>27000</v>
      </c>
      <c r="Q26" s="241">
        <f t="shared" si="3"/>
        <v>27000</v>
      </c>
      <c r="R26" s="241">
        <f t="shared" si="3"/>
        <v>27000</v>
      </c>
      <c r="S26" s="241">
        <f t="shared" si="3"/>
        <v>27000</v>
      </c>
      <c r="T26" s="241">
        <f t="shared" si="3"/>
        <v>27000</v>
      </c>
      <c r="U26" s="241">
        <f t="shared" si="3"/>
        <v>27000</v>
      </c>
      <c r="V26" s="241">
        <f t="shared" si="3"/>
        <v>27000</v>
      </c>
      <c r="W26" s="241">
        <f t="shared" si="3"/>
        <v>27000</v>
      </c>
      <c r="X26" s="241">
        <f t="shared" si="3"/>
        <v>27000</v>
      </c>
      <c r="Y26" s="241">
        <f t="shared" si="3"/>
        <v>27000</v>
      </c>
      <c r="Z26" s="241">
        <f t="shared" si="3"/>
        <v>27000</v>
      </c>
      <c r="AA26" s="241">
        <f t="shared" si="3"/>
        <v>27000</v>
      </c>
      <c r="AB26" s="288">
        <f t="shared" si="3"/>
        <v>27000</v>
      </c>
      <c r="AC26" s="288">
        <f t="shared" si="4"/>
        <v>27000</v>
      </c>
      <c r="AD26" s="288">
        <f t="shared" si="4"/>
        <v>27000</v>
      </c>
      <c r="AE26" s="288">
        <f t="shared" si="4"/>
        <v>27000</v>
      </c>
      <c r="AF26" s="288">
        <f t="shared" si="4"/>
        <v>27000</v>
      </c>
      <c r="AG26" s="288">
        <f t="shared" si="4"/>
        <v>27000</v>
      </c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</row>
    <row r="27" spans="1:51" s="97" customFormat="1" ht="13.8">
      <c r="A27" s="285"/>
      <c r="B27" s="284" t="s">
        <v>15</v>
      </c>
      <c r="C27" s="286" t="s">
        <v>78</v>
      </c>
      <c r="D27" s="287">
        <f>'Data Dasar'!$E$130*12</f>
        <v>60</v>
      </c>
      <c r="E27" s="241">
        <f>'Data Dasar'!$E$130*12</f>
        <v>60</v>
      </c>
      <c r="F27" s="241">
        <f>'Data Dasar'!$E$130*12</f>
        <v>60</v>
      </c>
      <c r="G27" s="241">
        <f>'Data Dasar'!$E$130*12</f>
        <v>60</v>
      </c>
      <c r="H27" s="241">
        <f>'Data Dasar'!$E$130*12</f>
        <v>60</v>
      </c>
      <c r="I27" s="241">
        <f>'Data Dasar'!$E$130*12</f>
        <v>60</v>
      </c>
      <c r="J27" s="241">
        <f>'Data Dasar'!$E$130*12</f>
        <v>60</v>
      </c>
      <c r="K27" s="241">
        <f>'Data Dasar'!$E$130*12</f>
        <v>60</v>
      </c>
      <c r="L27" s="241">
        <f>'Data Dasar'!$E$130*12</f>
        <v>60</v>
      </c>
      <c r="M27" s="241">
        <f>'Data Dasar'!$E$130*12</f>
        <v>60</v>
      </c>
      <c r="N27" s="241">
        <f>'Data Dasar'!$E$130*12</f>
        <v>60</v>
      </c>
      <c r="O27" s="241">
        <f>'Data Dasar'!$E$130*12</f>
        <v>60</v>
      </c>
      <c r="P27" s="241">
        <f>'Data Dasar'!$E$130*12</f>
        <v>60</v>
      </c>
      <c r="Q27" s="241">
        <f>'Data Dasar'!$E$130*12</f>
        <v>60</v>
      </c>
      <c r="R27" s="241">
        <f>'Data Dasar'!$E$130*12</f>
        <v>60</v>
      </c>
      <c r="S27" s="241">
        <f>'Data Dasar'!$E$130*12</f>
        <v>60</v>
      </c>
      <c r="T27" s="241">
        <f>'Data Dasar'!$E$130*12</f>
        <v>60</v>
      </c>
      <c r="U27" s="241">
        <f>'Data Dasar'!$E$130*12</f>
        <v>60</v>
      </c>
      <c r="V27" s="241">
        <f>'Data Dasar'!$E$130*12</f>
        <v>60</v>
      </c>
      <c r="W27" s="241">
        <f>'Data Dasar'!$E$130*12</f>
        <v>60</v>
      </c>
      <c r="X27" s="241">
        <f>'Data Dasar'!$E$130*12</f>
        <v>60</v>
      </c>
      <c r="Y27" s="241">
        <f>'Data Dasar'!$E$130*12</f>
        <v>60</v>
      </c>
      <c r="Z27" s="241">
        <f>'Data Dasar'!$E$130*12</f>
        <v>60</v>
      </c>
      <c r="AA27" s="241">
        <f>'Data Dasar'!$E$130*12</f>
        <v>60</v>
      </c>
      <c r="AB27" s="241">
        <f>'Data Dasar'!$E$130*12</f>
        <v>60</v>
      </c>
      <c r="AC27" s="241">
        <f>'Data Dasar'!$E$130*12</f>
        <v>60</v>
      </c>
      <c r="AD27" s="241">
        <f>'Data Dasar'!$E$130*12</f>
        <v>60</v>
      </c>
      <c r="AE27" s="241">
        <f>'Data Dasar'!$E$130*12</f>
        <v>60</v>
      </c>
      <c r="AF27" s="241">
        <f>'Data Dasar'!$E$130*12</f>
        <v>60</v>
      </c>
      <c r="AG27" s="241">
        <f>'Data Dasar'!$E$130*12</f>
        <v>60</v>
      </c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</row>
    <row r="28" spans="1:51" s="97" customFormat="1" ht="13.8">
      <c r="A28" s="285"/>
      <c r="B28" s="283" t="s">
        <v>16</v>
      </c>
      <c r="C28" s="286" t="s">
        <v>42</v>
      </c>
      <c r="D28" s="287">
        <f>D66</f>
        <v>1500</v>
      </c>
      <c r="E28" s="241">
        <f t="shared" ref="E28:AB28" si="5">E66</f>
        <v>1500</v>
      </c>
      <c r="F28" s="241">
        <f t="shared" si="5"/>
        <v>1500</v>
      </c>
      <c r="G28" s="241">
        <f t="shared" si="5"/>
        <v>1500</v>
      </c>
      <c r="H28" s="241">
        <f t="shared" si="5"/>
        <v>1500</v>
      </c>
      <c r="I28" s="241">
        <f t="shared" si="5"/>
        <v>1500</v>
      </c>
      <c r="J28" s="241">
        <f t="shared" si="5"/>
        <v>1500</v>
      </c>
      <c r="K28" s="241">
        <f t="shared" si="5"/>
        <v>1500</v>
      </c>
      <c r="L28" s="241">
        <f t="shared" si="5"/>
        <v>1500</v>
      </c>
      <c r="M28" s="241">
        <f t="shared" si="5"/>
        <v>1500</v>
      </c>
      <c r="N28" s="241">
        <f t="shared" si="5"/>
        <v>1500</v>
      </c>
      <c r="O28" s="241">
        <f t="shared" si="5"/>
        <v>1500</v>
      </c>
      <c r="P28" s="241">
        <f t="shared" si="5"/>
        <v>1500</v>
      </c>
      <c r="Q28" s="241">
        <f t="shared" si="5"/>
        <v>1500</v>
      </c>
      <c r="R28" s="241">
        <f t="shared" si="5"/>
        <v>1500</v>
      </c>
      <c r="S28" s="241">
        <f t="shared" si="5"/>
        <v>1500</v>
      </c>
      <c r="T28" s="241">
        <f t="shared" si="5"/>
        <v>1500</v>
      </c>
      <c r="U28" s="241">
        <f t="shared" si="5"/>
        <v>1500</v>
      </c>
      <c r="V28" s="241">
        <f t="shared" si="5"/>
        <v>1500</v>
      </c>
      <c r="W28" s="241">
        <f t="shared" si="5"/>
        <v>1500</v>
      </c>
      <c r="X28" s="241">
        <f t="shared" si="5"/>
        <v>1500</v>
      </c>
      <c r="Y28" s="241">
        <f t="shared" si="5"/>
        <v>1500</v>
      </c>
      <c r="Z28" s="241">
        <f t="shared" si="5"/>
        <v>1500</v>
      </c>
      <c r="AA28" s="241">
        <f t="shared" si="5"/>
        <v>1500</v>
      </c>
      <c r="AB28" s="288">
        <f t="shared" si="5"/>
        <v>1500</v>
      </c>
      <c r="AC28" s="288">
        <f t="shared" ref="AC28:AG28" si="6">AC66</f>
        <v>1500</v>
      </c>
      <c r="AD28" s="288">
        <f t="shared" si="6"/>
        <v>1500</v>
      </c>
      <c r="AE28" s="288">
        <f t="shared" si="6"/>
        <v>1500</v>
      </c>
      <c r="AF28" s="288">
        <f t="shared" si="6"/>
        <v>1500</v>
      </c>
      <c r="AG28" s="288">
        <f t="shared" si="6"/>
        <v>1500</v>
      </c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</row>
    <row r="29" spans="1:51" s="97" customFormat="1" ht="13.8">
      <c r="A29" s="285"/>
      <c r="B29" s="283" t="s">
        <v>18</v>
      </c>
      <c r="C29" s="286" t="s">
        <v>78</v>
      </c>
      <c r="D29" s="287">
        <f>'Data Dasar'!$E$133*12</f>
        <v>84</v>
      </c>
      <c r="E29" s="241">
        <f>'Data Dasar'!$E$133*12</f>
        <v>84</v>
      </c>
      <c r="F29" s="241">
        <f>'Data Dasar'!$E$133*12</f>
        <v>84</v>
      </c>
      <c r="G29" s="241">
        <f>'Data Dasar'!$E$133*12</f>
        <v>84</v>
      </c>
      <c r="H29" s="241">
        <f>'Data Dasar'!$E$133*12</f>
        <v>84</v>
      </c>
      <c r="I29" s="241">
        <f>'Data Dasar'!$E$133*12</f>
        <v>84</v>
      </c>
      <c r="J29" s="241">
        <f>'Data Dasar'!$E$133*12</f>
        <v>84</v>
      </c>
      <c r="K29" s="241">
        <f>'Data Dasar'!$E$133*12</f>
        <v>84</v>
      </c>
      <c r="L29" s="241">
        <f>'Data Dasar'!$E$133*12</f>
        <v>84</v>
      </c>
      <c r="M29" s="241">
        <f>'Data Dasar'!$E$133*12</f>
        <v>84</v>
      </c>
      <c r="N29" s="241">
        <f>'Data Dasar'!$E$133*12</f>
        <v>84</v>
      </c>
      <c r="O29" s="241">
        <f>'Data Dasar'!$E$133*12</f>
        <v>84</v>
      </c>
      <c r="P29" s="241">
        <f>'Data Dasar'!$E$133*12</f>
        <v>84</v>
      </c>
      <c r="Q29" s="241">
        <f>'Data Dasar'!$E$133*12</f>
        <v>84</v>
      </c>
      <c r="R29" s="241">
        <f>'Data Dasar'!$E$133*12</f>
        <v>84</v>
      </c>
      <c r="S29" s="241">
        <f>'Data Dasar'!$E$133*12</f>
        <v>84</v>
      </c>
      <c r="T29" s="241">
        <f>'Data Dasar'!$E$133*12</f>
        <v>84</v>
      </c>
      <c r="U29" s="241">
        <f>'Data Dasar'!$E$133*12</f>
        <v>84</v>
      </c>
      <c r="V29" s="241">
        <f>'Data Dasar'!$E$133*12</f>
        <v>84</v>
      </c>
      <c r="W29" s="241">
        <f>'Data Dasar'!$E$133*12</f>
        <v>84</v>
      </c>
      <c r="X29" s="241">
        <f>'Data Dasar'!$E$133*12</f>
        <v>84</v>
      </c>
      <c r="Y29" s="241">
        <f>'Data Dasar'!$E$133*12</f>
        <v>84</v>
      </c>
      <c r="Z29" s="241">
        <f>'Data Dasar'!$E$133*12</f>
        <v>84</v>
      </c>
      <c r="AA29" s="241">
        <f>'Data Dasar'!$E$133*12</f>
        <v>84</v>
      </c>
      <c r="AB29" s="241">
        <f>'Data Dasar'!$E$133*12</f>
        <v>84</v>
      </c>
      <c r="AC29" s="241">
        <f>'Data Dasar'!$E$133*12</f>
        <v>84</v>
      </c>
      <c r="AD29" s="241">
        <f>'Data Dasar'!$E$133*12</f>
        <v>84</v>
      </c>
      <c r="AE29" s="241">
        <f>'Data Dasar'!$E$133*12</f>
        <v>84</v>
      </c>
      <c r="AF29" s="241">
        <f>'Data Dasar'!$E$133*12</f>
        <v>84</v>
      </c>
      <c r="AG29" s="241">
        <f>'Data Dasar'!$E$133*12</f>
        <v>84</v>
      </c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</row>
    <row r="30" spans="1:51" s="97" customFormat="1" ht="13.8">
      <c r="A30" s="285"/>
      <c r="B30" s="283" t="s">
        <v>19</v>
      </c>
      <c r="C30" s="286" t="s">
        <v>78</v>
      </c>
      <c r="D30" s="287">
        <f>'Data Dasar'!$E134*12</f>
        <v>36</v>
      </c>
      <c r="E30" s="241">
        <f>'Data Dasar'!$E134*12</f>
        <v>36</v>
      </c>
      <c r="F30" s="241">
        <f>'Data Dasar'!$E134*12</f>
        <v>36</v>
      </c>
      <c r="G30" s="241">
        <f>'Data Dasar'!$E134*12</f>
        <v>36</v>
      </c>
      <c r="H30" s="241">
        <f>'Data Dasar'!$E134*12</f>
        <v>36</v>
      </c>
      <c r="I30" s="241">
        <f>'Data Dasar'!$E134*12</f>
        <v>36</v>
      </c>
      <c r="J30" s="241">
        <f>'Data Dasar'!$E134*12</f>
        <v>36</v>
      </c>
      <c r="K30" s="241">
        <f>'Data Dasar'!$E134*12</f>
        <v>36</v>
      </c>
      <c r="L30" s="241">
        <f>'Data Dasar'!$E134*12</f>
        <v>36</v>
      </c>
      <c r="M30" s="241">
        <f>'Data Dasar'!$E134*12</f>
        <v>36</v>
      </c>
      <c r="N30" s="241">
        <f>'Data Dasar'!$E134*12</f>
        <v>36</v>
      </c>
      <c r="O30" s="241">
        <f>'Data Dasar'!$E134*12</f>
        <v>36</v>
      </c>
      <c r="P30" s="241">
        <f>'Data Dasar'!$E134*12</f>
        <v>36</v>
      </c>
      <c r="Q30" s="241">
        <f>'Data Dasar'!$E134*12</f>
        <v>36</v>
      </c>
      <c r="R30" s="241">
        <f>'Data Dasar'!$E134*12</f>
        <v>36</v>
      </c>
      <c r="S30" s="241">
        <f>'Data Dasar'!$E134*12</f>
        <v>36</v>
      </c>
      <c r="T30" s="241">
        <f>'Data Dasar'!$E134*12</f>
        <v>36</v>
      </c>
      <c r="U30" s="241">
        <f>'Data Dasar'!$E134*12</f>
        <v>36</v>
      </c>
      <c r="V30" s="241">
        <f>'Data Dasar'!$E134*12</f>
        <v>36</v>
      </c>
      <c r="W30" s="241">
        <f>'Data Dasar'!$E134*12</f>
        <v>36</v>
      </c>
      <c r="X30" s="241">
        <f>'Data Dasar'!$E134*12</f>
        <v>36</v>
      </c>
      <c r="Y30" s="241">
        <f>'Data Dasar'!$E134*12</f>
        <v>36</v>
      </c>
      <c r="Z30" s="241">
        <f>'Data Dasar'!$E134*12</f>
        <v>36</v>
      </c>
      <c r="AA30" s="241">
        <f>'Data Dasar'!$E134*12</f>
        <v>36</v>
      </c>
      <c r="AB30" s="241">
        <f>'Data Dasar'!$E134*12</f>
        <v>36</v>
      </c>
      <c r="AC30" s="241">
        <f>'Data Dasar'!$E134*12</f>
        <v>36</v>
      </c>
      <c r="AD30" s="241">
        <f>'Data Dasar'!$E134*12</f>
        <v>36</v>
      </c>
      <c r="AE30" s="241">
        <f>'Data Dasar'!$E134*12</f>
        <v>36</v>
      </c>
      <c r="AF30" s="241">
        <f>'Data Dasar'!$E134*12</f>
        <v>36</v>
      </c>
      <c r="AG30" s="241">
        <f>'Data Dasar'!$E134*12</f>
        <v>36</v>
      </c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</row>
    <row r="31" spans="1:51" s="97" customFormat="1" ht="13.8">
      <c r="A31" s="285"/>
      <c r="B31" s="238"/>
      <c r="C31" s="286"/>
      <c r="D31" s="293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1"/>
      <c r="Y31" s="271"/>
      <c r="Z31" s="271"/>
      <c r="AA31" s="271"/>
      <c r="AB31" s="294"/>
      <c r="AC31" s="294"/>
      <c r="AD31" s="294"/>
      <c r="AE31" s="294"/>
      <c r="AF31" s="294"/>
      <c r="AG31" s="294"/>
      <c r="AH31" s="266"/>
      <c r="AI31" s="266"/>
      <c r="AJ31" s="266"/>
      <c r="AK31" s="266"/>
      <c r="AL31" s="266"/>
      <c r="AM31" s="266"/>
    </row>
    <row r="32" spans="1:51" s="97" customFormat="1" ht="13.8">
      <c r="A32" s="285"/>
      <c r="B32" s="289" t="s">
        <v>44</v>
      </c>
      <c r="C32" s="286"/>
      <c r="D32" s="293"/>
      <c r="E32" s="271"/>
      <c r="F32" s="271"/>
      <c r="G32" s="271"/>
      <c r="H32" s="271"/>
      <c r="I32" s="271"/>
      <c r="J32" s="271"/>
      <c r="K32" s="271"/>
      <c r="L32" s="271"/>
      <c r="M32" s="271"/>
      <c r="N32" s="271"/>
      <c r="O32" s="271"/>
      <c r="P32" s="271"/>
      <c r="Q32" s="271"/>
      <c r="R32" s="271"/>
      <c r="S32" s="271"/>
      <c r="T32" s="271"/>
      <c r="U32" s="271"/>
      <c r="V32" s="271"/>
      <c r="W32" s="271"/>
      <c r="X32" s="271"/>
      <c r="Y32" s="271"/>
      <c r="Z32" s="271"/>
      <c r="AA32" s="271"/>
      <c r="AB32" s="294"/>
      <c r="AC32" s="294"/>
      <c r="AD32" s="294"/>
      <c r="AE32" s="294"/>
      <c r="AF32" s="294"/>
      <c r="AG32" s="294"/>
      <c r="AH32" s="266"/>
      <c r="AI32" s="266"/>
      <c r="AJ32" s="266"/>
      <c r="AK32" s="266"/>
      <c r="AL32" s="266"/>
      <c r="AM32" s="266"/>
    </row>
    <row r="33" spans="1:51" s="97" customFormat="1" ht="13.8">
      <c r="A33" s="285"/>
      <c r="B33" s="283" t="s">
        <v>23</v>
      </c>
      <c r="C33" s="286" t="s">
        <v>78</v>
      </c>
      <c r="D33" s="287">
        <f>'Data Dasar'!$D117*12</f>
        <v>72</v>
      </c>
      <c r="E33" s="241">
        <f>'Data Dasar'!$D117*12</f>
        <v>72</v>
      </c>
      <c r="F33" s="241">
        <f>'Data Dasar'!$D117*12</f>
        <v>72</v>
      </c>
      <c r="G33" s="241">
        <f>'Data Dasar'!$D117*12</f>
        <v>72</v>
      </c>
      <c r="H33" s="241">
        <f>'Data Dasar'!$D117*12</f>
        <v>72</v>
      </c>
      <c r="I33" s="241">
        <f>'Data Dasar'!$D117*12</f>
        <v>72</v>
      </c>
      <c r="J33" s="241">
        <f>'Data Dasar'!$D117*12</f>
        <v>72</v>
      </c>
      <c r="K33" s="241">
        <f>'Data Dasar'!$D117*12</f>
        <v>72</v>
      </c>
      <c r="L33" s="241">
        <f>'Data Dasar'!$D117*12</f>
        <v>72</v>
      </c>
      <c r="M33" s="241">
        <f>'Data Dasar'!$D117*12</f>
        <v>72</v>
      </c>
      <c r="N33" s="241">
        <f>'Data Dasar'!$D117*12</f>
        <v>72</v>
      </c>
      <c r="O33" s="241">
        <f>'Data Dasar'!$D117*12</f>
        <v>72</v>
      </c>
      <c r="P33" s="241">
        <f>'Data Dasar'!$D117*12</f>
        <v>72</v>
      </c>
      <c r="Q33" s="241">
        <f>'Data Dasar'!$D117*12</f>
        <v>72</v>
      </c>
      <c r="R33" s="241">
        <f>'Data Dasar'!$D117*12</f>
        <v>72</v>
      </c>
      <c r="S33" s="241">
        <f>'Data Dasar'!$D117*12</f>
        <v>72</v>
      </c>
      <c r="T33" s="241">
        <f>'Data Dasar'!$D117*12</f>
        <v>72</v>
      </c>
      <c r="U33" s="241">
        <f>'Data Dasar'!$D117*12</f>
        <v>72</v>
      </c>
      <c r="V33" s="241">
        <f>'Data Dasar'!$D117*12</f>
        <v>72</v>
      </c>
      <c r="W33" s="241">
        <f>'Data Dasar'!$D117*12</f>
        <v>72</v>
      </c>
      <c r="X33" s="241">
        <f>'Data Dasar'!$D117*12</f>
        <v>72</v>
      </c>
      <c r="Y33" s="241">
        <f>'Data Dasar'!$D117*12</f>
        <v>72</v>
      </c>
      <c r="Z33" s="241">
        <f>'Data Dasar'!$D117*12</f>
        <v>72</v>
      </c>
      <c r="AA33" s="241">
        <f>'Data Dasar'!$D117*12</f>
        <v>72</v>
      </c>
      <c r="AB33" s="241">
        <f>'Data Dasar'!$D117*12</f>
        <v>72</v>
      </c>
      <c r="AC33" s="241">
        <f>'Data Dasar'!$D117*12</f>
        <v>72</v>
      </c>
      <c r="AD33" s="241">
        <f>'Data Dasar'!$D117*12</f>
        <v>72</v>
      </c>
      <c r="AE33" s="241">
        <f>'Data Dasar'!$D117*12</f>
        <v>72</v>
      </c>
      <c r="AF33" s="241">
        <f>'Data Dasar'!$D117*12</f>
        <v>72</v>
      </c>
      <c r="AG33" s="241">
        <f>'Data Dasar'!$D117*12</f>
        <v>72</v>
      </c>
      <c r="AH33" s="266"/>
      <c r="AI33" s="266"/>
      <c r="AJ33" s="266"/>
      <c r="AK33" s="266"/>
      <c r="AL33" s="266"/>
      <c r="AM33" s="266"/>
    </row>
    <row r="34" spans="1:51" s="97" customFormat="1" ht="13.8">
      <c r="A34" s="285"/>
      <c r="B34" s="283" t="s">
        <v>18</v>
      </c>
      <c r="C34" s="286" t="s">
        <v>78</v>
      </c>
      <c r="D34" s="287">
        <f>'Data Dasar'!$E133*12</f>
        <v>84</v>
      </c>
      <c r="E34" s="241">
        <f>'Data Dasar'!$E133*12</f>
        <v>84</v>
      </c>
      <c r="F34" s="241">
        <f>'Data Dasar'!$E133*12</f>
        <v>84</v>
      </c>
      <c r="G34" s="241">
        <f>'Data Dasar'!$E133*12</f>
        <v>84</v>
      </c>
      <c r="H34" s="241">
        <f>'Data Dasar'!$E133*12</f>
        <v>84</v>
      </c>
      <c r="I34" s="241">
        <f>'Data Dasar'!$E133*12</f>
        <v>84</v>
      </c>
      <c r="J34" s="241">
        <f>'Data Dasar'!$E133*12</f>
        <v>84</v>
      </c>
      <c r="K34" s="241">
        <f>'Data Dasar'!$E133*12</f>
        <v>84</v>
      </c>
      <c r="L34" s="241">
        <f>'Data Dasar'!$E133*12</f>
        <v>84</v>
      </c>
      <c r="M34" s="241">
        <f>'Data Dasar'!$E133*12</f>
        <v>84</v>
      </c>
      <c r="N34" s="241">
        <f>'Data Dasar'!$E133*12</f>
        <v>84</v>
      </c>
      <c r="O34" s="241">
        <f>'Data Dasar'!$E133*12</f>
        <v>84</v>
      </c>
      <c r="P34" s="241">
        <f>'Data Dasar'!$E133*12</f>
        <v>84</v>
      </c>
      <c r="Q34" s="241">
        <f>'Data Dasar'!$E133*12</f>
        <v>84</v>
      </c>
      <c r="R34" s="241">
        <f>'Data Dasar'!$E133*12</f>
        <v>84</v>
      </c>
      <c r="S34" s="241">
        <f>'Data Dasar'!$E133*12</f>
        <v>84</v>
      </c>
      <c r="T34" s="241">
        <f>'Data Dasar'!$E133*12</f>
        <v>84</v>
      </c>
      <c r="U34" s="241">
        <f>'Data Dasar'!$E133*12</f>
        <v>84</v>
      </c>
      <c r="V34" s="241">
        <f>'Data Dasar'!$E133*12</f>
        <v>84</v>
      </c>
      <c r="W34" s="241">
        <f>'Data Dasar'!$E133*12</f>
        <v>84</v>
      </c>
      <c r="X34" s="241">
        <f>'Data Dasar'!$E133*12</f>
        <v>84</v>
      </c>
      <c r="Y34" s="241">
        <f>'Data Dasar'!$E133*12</f>
        <v>84</v>
      </c>
      <c r="Z34" s="241">
        <f>'Data Dasar'!$E133*12</f>
        <v>84</v>
      </c>
      <c r="AA34" s="241">
        <f>'Data Dasar'!$E133*12</f>
        <v>84</v>
      </c>
      <c r="AB34" s="241">
        <f>'Data Dasar'!$E133*12</f>
        <v>84</v>
      </c>
      <c r="AC34" s="241">
        <f>'Data Dasar'!$E133*12</f>
        <v>84</v>
      </c>
      <c r="AD34" s="241">
        <f>'Data Dasar'!$E133*12</f>
        <v>84</v>
      </c>
      <c r="AE34" s="241">
        <f>'Data Dasar'!$E133*12</f>
        <v>84</v>
      </c>
      <c r="AF34" s="241">
        <f>'Data Dasar'!$E133*12</f>
        <v>84</v>
      </c>
      <c r="AG34" s="241">
        <f>'Data Dasar'!$E133*12</f>
        <v>84</v>
      </c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</row>
    <row r="35" spans="1:51" s="97" customFormat="1" ht="13.8">
      <c r="A35" s="285"/>
      <c r="B35" s="283" t="s">
        <v>24</v>
      </c>
      <c r="C35" s="286" t="s">
        <v>78</v>
      </c>
      <c r="D35" s="287">
        <f>'Data Dasar'!$D118</f>
        <v>136</v>
      </c>
      <c r="E35" s="241">
        <f>'Data Dasar'!$D118</f>
        <v>136</v>
      </c>
      <c r="F35" s="241">
        <f>'Data Dasar'!$D118</f>
        <v>136</v>
      </c>
      <c r="G35" s="241">
        <f>'Data Dasar'!$D118</f>
        <v>136</v>
      </c>
      <c r="H35" s="241">
        <f>'Data Dasar'!$D118</f>
        <v>136</v>
      </c>
      <c r="I35" s="241">
        <f>'Data Dasar'!$D118</f>
        <v>136</v>
      </c>
      <c r="J35" s="241">
        <f>'Data Dasar'!$D118</f>
        <v>136</v>
      </c>
      <c r="K35" s="241">
        <f>'Data Dasar'!$D118</f>
        <v>136</v>
      </c>
      <c r="L35" s="241">
        <f>'Data Dasar'!$D118</f>
        <v>136</v>
      </c>
      <c r="M35" s="241">
        <f>'Data Dasar'!$D118</f>
        <v>136</v>
      </c>
      <c r="N35" s="241">
        <f>'Data Dasar'!$D118</f>
        <v>136</v>
      </c>
      <c r="O35" s="241">
        <f>'Data Dasar'!$D118</f>
        <v>136</v>
      </c>
      <c r="P35" s="241">
        <f>'Data Dasar'!$D118</f>
        <v>136</v>
      </c>
      <c r="Q35" s="241">
        <f>'Data Dasar'!$D118</f>
        <v>136</v>
      </c>
      <c r="R35" s="241">
        <f>'Data Dasar'!$D118</f>
        <v>136</v>
      </c>
      <c r="S35" s="241">
        <f>'Data Dasar'!$D118</f>
        <v>136</v>
      </c>
      <c r="T35" s="241">
        <f>'Data Dasar'!$D118</f>
        <v>136</v>
      </c>
      <c r="U35" s="241">
        <f>'Data Dasar'!$D118</f>
        <v>136</v>
      </c>
      <c r="V35" s="241">
        <f>'Data Dasar'!$D118</f>
        <v>136</v>
      </c>
      <c r="W35" s="241">
        <f>'Data Dasar'!$D118</f>
        <v>136</v>
      </c>
      <c r="X35" s="241">
        <f>'Data Dasar'!$D118</f>
        <v>136</v>
      </c>
      <c r="Y35" s="241">
        <f>'Data Dasar'!$D118</f>
        <v>136</v>
      </c>
      <c r="Z35" s="241">
        <f>'Data Dasar'!$D118</f>
        <v>136</v>
      </c>
      <c r="AA35" s="241">
        <f>'Data Dasar'!$D118</f>
        <v>136</v>
      </c>
      <c r="AB35" s="241">
        <f>'Data Dasar'!$D118</f>
        <v>136</v>
      </c>
      <c r="AC35" s="241">
        <f>'Data Dasar'!$D118</f>
        <v>136</v>
      </c>
      <c r="AD35" s="241">
        <f>'Data Dasar'!$D118</f>
        <v>136</v>
      </c>
      <c r="AE35" s="241">
        <f>'Data Dasar'!$D118</f>
        <v>136</v>
      </c>
      <c r="AF35" s="241">
        <f>'Data Dasar'!$D118</f>
        <v>136</v>
      </c>
      <c r="AG35" s="241">
        <f>'Data Dasar'!$D118</f>
        <v>136</v>
      </c>
      <c r="AH35" s="266"/>
      <c r="AI35" s="266"/>
      <c r="AJ35" s="266"/>
      <c r="AK35" s="266"/>
      <c r="AL35" s="266"/>
      <c r="AM35" s="266"/>
    </row>
    <row r="36" spans="1:51" s="97" customFormat="1" ht="13.8">
      <c r="A36" s="285"/>
      <c r="B36" s="238"/>
      <c r="C36" s="286"/>
      <c r="D36" s="293"/>
      <c r="E36" s="271"/>
      <c r="F36" s="271"/>
      <c r="G36" s="271"/>
      <c r="H36" s="271"/>
      <c r="I36" s="271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  <c r="X36" s="271"/>
      <c r="Y36" s="271"/>
      <c r="Z36" s="271"/>
      <c r="AA36" s="271"/>
      <c r="AB36" s="294"/>
      <c r="AC36" s="294"/>
      <c r="AD36" s="294"/>
      <c r="AE36" s="294"/>
      <c r="AF36" s="294"/>
      <c r="AG36" s="294"/>
      <c r="AH36" s="266"/>
      <c r="AI36" s="266"/>
      <c r="AJ36" s="266"/>
      <c r="AK36" s="266"/>
      <c r="AL36" s="266"/>
      <c r="AM36" s="266"/>
    </row>
    <row r="37" spans="1:51" ht="15.6">
      <c r="B37" s="189" t="s">
        <v>45</v>
      </c>
      <c r="C37" s="174"/>
      <c r="D37" s="197"/>
      <c r="E37" s="198"/>
      <c r="F37" s="198"/>
      <c r="G37" s="198"/>
      <c r="H37" s="198"/>
      <c r="I37" s="198"/>
      <c r="J37" s="198"/>
      <c r="K37" s="198"/>
      <c r="L37" s="198"/>
      <c r="M37" s="198"/>
      <c r="N37" s="198"/>
      <c r="O37" s="198"/>
      <c r="P37" s="198"/>
      <c r="Q37" s="198"/>
      <c r="R37" s="198"/>
      <c r="S37" s="198"/>
      <c r="T37" s="198"/>
      <c r="U37" s="198"/>
      <c r="V37" s="198"/>
      <c r="W37" s="198"/>
      <c r="X37" s="198"/>
      <c r="Y37" s="198"/>
      <c r="Z37" s="198"/>
      <c r="AA37" s="198"/>
      <c r="AB37" s="199"/>
      <c r="AC37" s="199"/>
      <c r="AD37" s="199"/>
      <c r="AE37" s="199"/>
      <c r="AF37" s="199"/>
      <c r="AG37" s="199"/>
      <c r="AH37" s="194"/>
      <c r="AI37" s="194"/>
      <c r="AJ37" s="194"/>
      <c r="AK37" s="194"/>
      <c r="AL37" s="194"/>
      <c r="AM37" s="194"/>
    </row>
    <row r="38" spans="1:51" s="97" customFormat="1" ht="13.8">
      <c r="A38" s="285"/>
      <c r="B38" s="238" t="s">
        <v>46</v>
      </c>
      <c r="C38" s="286"/>
      <c r="D38" s="293"/>
      <c r="E38" s="271"/>
      <c r="F38" s="271"/>
      <c r="G38" s="271"/>
      <c r="H38" s="271"/>
      <c r="I38" s="271"/>
      <c r="J38" s="271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1"/>
      <c r="V38" s="271"/>
      <c r="W38" s="271"/>
      <c r="X38" s="271"/>
      <c r="Y38" s="271"/>
      <c r="Z38" s="271"/>
      <c r="AA38" s="271"/>
      <c r="AB38" s="294"/>
      <c r="AC38" s="294"/>
      <c r="AD38" s="294"/>
      <c r="AE38" s="294"/>
      <c r="AF38" s="294"/>
      <c r="AG38" s="294"/>
      <c r="AH38" s="266"/>
      <c r="AI38" s="266"/>
      <c r="AJ38" s="266"/>
      <c r="AK38" s="266"/>
      <c r="AL38" s="266"/>
      <c r="AM38" s="266"/>
    </row>
    <row r="39" spans="1:51" s="97" customFormat="1" ht="13.8">
      <c r="A39" s="285"/>
      <c r="B39" s="283" t="s">
        <v>218</v>
      </c>
      <c r="C39" s="286" t="s">
        <v>42</v>
      </c>
      <c r="D39" s="287">
        <f>D64/25</f>
        <v>4000</v>
      </c>
      <c r="E39" s="241">
        <f t="shared" ref="E39:AB39" si="7">E64/25</f>
        <v>4000</v>
      </c>
      <c r="F39" s="241">
        <f t="shared" si="7"/>
        <v>4000</v>
      </c>
      <c r="G39" s="241">
        <f t="shared" si="7"/>
        <v>4000</v>
      </c>
      <c r="H39" s="241">
        <f t="shared" si="7"/>
        <v>4000</v>
      </c>
      <c r="I39" s="241">
        <f t="shared" si="7"/>
        <v>4000</v>
      </c>
      <c r="J39" s="241">
        <f t="shared" si="7"/>
        <v>4000</v>
      </c>
      <c r="K39" s="241">
        <f t="shared" si="7"/>
        <v>4000</v>
      </c>
      <c r="L39" s="241">
        <f t="shared" si="7"/>
        <v>4000</v>
      </c>
      <c r="M39" s="241">
        <f t="shared" si="7"/>
        <v>4000</v>
      </c>
      <c r="N39" s="241">
        <f t="shared" si="7"/>
        <v>4000</v>
      </c>
      <c r="O39" s="241">
        <f t="shared" si="7"/>
        <v>4000</v>
      </c>
      <c r="P39" s="241">
        <f t="shared" si="7"/>
        <v>4000</v>
      </c>
      <c r="Q39" s="241">
        <f t="shared" si="7"/>
        <v>4000</v>
      </c>
      <c r="R39" s="241">
        <f t="shared" si="7"/>
        <v>4000</v>
      </c>
      <c r="S39" s="241">
        <f t="shared" si="7"/>
        <v>4000</v>
      </c>
      <c r="T39" s="241">
        <f t="shared" si="7"/>
        <v>4000</v>
      </c>
      <c r="U39" s="241">
        <f t="shared" si="7"/>
        <v>4000</v>
      </c>
      <c r="V39" s="241">
        <f t="shared" si="7"/>
        <v>4000</v>
      </c>
      <c r="W39" s="241">
        <f t="shared" si="7"/>
        <v>4000</v>
      </c>
      <c r="X39" s="241">
        <f t="shared" si="7"/>
        <v>4000</v>
      </c>
      <c r="Y39" s="241">
        <f t="shared" si="7"/>
        <v>4000</v>
      </c>
      <c r="Z39" s="241">
        <f t="shared" si="7"/>
        <v>4000</v>
      </c>
      <c r="AA39" s="241">
        <f t="shared" si="7"/>
        <v>4000</v>
      </c>
      <c r="AB39" s="241">
        <f t="shared" si="7"/>
        <v>4000</v>
      </c>
      <c r="AC39" s="241">
        <f t="shared" ref="AC39:AG39" si="8">AC64/25</f>
        <v>4000</v>
      </c>
      <c r="AD39" s="241">
        <f t="shared" si="8"/>
        <v>4000</v>
      </c>
      <c r="AE39" s="241">
        <f t="shared" si="8"/>
        <v>4000</v>
      </c>
      <c r="AF39" s="241">
        <f t="shared" si="8"/>
        <v>4000</v>
      </c>
      <c r="AG39" s="241">
        <f t="shared" si="8"/>
        <v>4000</v>
      </c>
      <c r="AH39" s="266"/>
      <c r="AI39" s="266"/>
      <c r="AJ39" s="266"/>
      <c r="AK39" s="266"/>
      <c r="AL39" s="266"/>
      <c r="AM39" s="266"/>
    </row>
    <row r="40" spans="1:51" s="97" customFormat="1" ht="13.8">
      <c r="A40" s="285"/>
      <c r="B40" s="283" t="s">
        <v>451</v>
      </c>
      <c r="C40" s="286" t="s">
        <v>42</v>
      </c>
      <c r="D40" s="287">
        <f>D64/25</f>
        <v>4000</v>
      </c>
      <c r="E40" s="287">
        <f t="shared" ref="E40:AB40" si="9">E64/25</f>
        <v>4000</v>
      </c>
      <c r="F40" s="287">
        <f t="shared" si="9"/>
        <v>4000</v>
      </c>
      <c r="G40" s="287">
        <f t="shared" si="9"/>
        <v>4000</v>
      </c>
      <c r="H40" s="287">
        <f t="shared" si="9"/>
        <v>4000</v>
      </c>
      <c r="I40" s="287">
        <f t="shared" si="9"/>
        <v>4000</v>
      </c>
      <c r="J40" s="287">
        <f t="shared" si="9"/>
        <v>4000</v>
      </c>
      <c r="K40" s="287">
        <f t="shared" si="9"/>
        <v>4000</v>
      </c>
      <c r="L40" s="287">
        <f t="shared" si="9"/>
        <v>4000</v>
      </c>
      <c r="M40" s="287">
        <f t="shared" si="9"/>
        <v>4000</v>
      </c>
      <c r="N40" s="287">
        <f t="shared" si="9"/>
        <v>4000</v>
      </c>
      <c r="O40" s="287">
        <f t="shared" si="9"/>
        <v>4000</v>
      </c>
      <c r="P40" s="287">
        <f t="shared" si="9"/>
        <v>4000</v>
      </c>
      <c r="Q40" s="287">
        <f t="shared" si="9"/>
        <v>4000</v>
      </c>
      <c r="R40" s="287">
        <f t="shared" si="9"/>
        <v>4000</v>
      </c>
      <c r="S40" s="287">
        <f t="shared" si="9"/>
        <v>4000</v>
      </c>
      <c r="T40" s="287">
        <f t="shared" si="9"/>
        <v>4000</v>
      </c>
      <c r="U40" s="287">
        <f t="shared" si="9"/>
        <v>4000</v>
      </c>
      <c r="V40" s="287">
        <f t="shared" si="9"/>
        <v>4000</v>
      </c>
      <c r="W40" s="287">
        <f t="shared" si="9"/>
        <v>4000</v>
      </c>
      <c r="X40" s="287">
        <f t="shared" si="9"/>
        <v>4000</v>
      </c>
      <c r="Y40" s="287">
        <f t="shared" si="9"/>
        <v>4000</v>
      </c>
      <c r="Z40" s="287">
        <f t="shared" si="9"/>
        <v>4000</v>
      </c>
      <c r="AA40" s="287">
        <f t="shared" si="9"/>
        <v>4000</v>
      </c>
      <c r="AB40" s="287">
        <f t="shared" si="9"/>
        <v>4000</v>
      </c>
      <c r="AC40" s="287">
        <f t="shared" ref="AC40:AG40" si="10">AC64/25</f>
        <v>4000</v>
      </c>
      <c r="AD40" s="287">
        <f t="shared" si="10"/>
        <v>4000</v>
      </c>
      <c r="AE40" s="287">
        <f t="shared" si="10"/>
        <v>4000</v>
      </c>
      <c r="AF40" s="287">
        <f t="shared" si="10"/>
        <v>4000</v>
      </c>
      <c r="AG40" s="287">
        <f t="shared" si="10"/>
        <v>4000</v>
      </c>
      <c r="AH40" s="266"/>
      <c r="AI40" s="266"/>
      <c r="AJ40" s="266"/>
      <c r="AK40" s="266"/>
      <c r="AL40" s="266"/>
      <c r="AM40" s="266"/>
    </row>
    <row r="41" spans="1:51" s="97" customFormat="1" ht="13.8">
      <c r="A41" s="285"/>
      <c r="B41" s="283" t="s">
        <v>452</v>
      </c>
      <c r="C41" s="286" t="s">
        <v>42</v>
      </c>
      <c r="D41" s="287">
        <f>D64/25</f>
        <v>4000</v>
      </c>
      <c r="E41" s="287">
        <f t="shared" ref="E41:AB41" si="11">E64/25</f>
        <v>4000</v>
      </c>
      <c r="F41" s="287">
        <f t="shared" si="11"/>
        <v>4000</v>
      </c>
      <c r="G41" s="287">
        <f t="shared" si="11"/>
        <v>4000</v>
      </c>
      <c r="H41" s="287">
        <f t="shared" si="11"/>
        <v>4000</v>
      </c>
      <c r="I41" s="287">
        <f t="shared" si="11"/>
        <v>4000</v>
      </c>
      <c r="J41" s="287">
        <f t="shared" si="11"/>
        <v>4000</v>
      </c>
      <c r="K41" s="287">
        <f t="shared" si="11"/>
        <v>4000</v>
      </c>
      <c r="L41" s="287">
        <f t="shared" si="11"/>
        <v>4000</v>
      </c>
      <c r="M41" s="287">
        <f t="shared" si="11"/>
        <v>4000</v>
      </c>
      <c r="N41" s="287">
        <f t="shared" si="11"/>
        <v>4000</v>
      </c>
      <c r="O41" s="287">
        <f t="shared" si="11"/>
        <v>4000</v>
      </c>
      <c r="P41" s="287">
        <f t="shared" si="11"/>
        <v>4000</v>
      </c>
      <c r="Q41" s="287">
        <f t="shared" si="11"/>
        <v>4000</v>
      </c>
      <c r="R41" s="287">
        <f t="shared" si="11"/>
        <v>4000</v>
      </c>
      <c r="S41" s="287">
        <f t="shared" si="11"/>
        <v>4000</v>
      </c>
      <c r="T41" s="287">
        <f t="shared" si="11"/>
        <v>4000</v>
      </c>
      <c r="U41" s="287">
        <f t="shared" si="11"/>
        <v>4000</v>
      </c>
      <c r="V41" s="287">
        <f t="shared" si="11"/>
        <v>4000</v>
      </c>
      <c r="W41" s="287">
        <f t="shared" si="11"/>
        <v>4000</v>
      </c>
      <c r="X41" s="287">
        <f t="shared" si="11"/>
        <v>4000</v>
      </c>
      <c r="Y41" s="287">
        <f t="shared" si="11"/>
        <v>4000</v>
      </c>
      <c r="Z41" s="287">
        <f t="shared" si="11"/>
        <v>4000</v>
      </c>
      <c r="AA41" s="287">
        <f t="shared" si="11"/>
        <v>4000</v>
      </c>
      <c r="AB41" s="287">
        <f t="shared" si="11"/>
        <v>4000</v>
      </c>
      <c r="AC41" s="287">
        <f t="shared" ref="AC41:AG41" si="12">AC64/25</f>
        <v>4000</v>
      </c>
      <c r="AD41" s="287">
        <f t="shared" si="12"/>
        <v>4000</v>
      </c>
      <c r="AE41" s="287">
        <f t="shared" si="12"/>
        <v>4000</v>
      </c>
      <c r="AF41" s="287">
        <f t="shared" si="12"/>
        <v>4000</v>
      </c>
      <c r="AG41" s="287">
        <f t="shared" si="12"/>
        <v>4000</v>
      </c>
      <c r="AH41" s="266"/>
      <c r="AI41" s="266"/>
      <c r="AJ41" s="266"/>
      <c r="AK41" s="266"/>
      <c r="AL41" s="266"/>
      <c r="AM41" s="266"/>
    </row>
    <row r="42" spans="1:51" s="97" customFormat="1" ht="13.8">
      <c r="A42" s="285"/>
      <c r="B42" s="283" t="s">
        <v>454</v>
      </c>
      <c r="C42" s="286" t="s">
        <v>42</v>
      </c>
      <c r="D42" s="287">
        <f>D64/25</f>
        <v>4000</v>
      </c>
      <c r="E42" s="287">
        <f t="shared" ref="E42:AB42" si="13">E64/25</f>
        <v>4000</v>
      </c>
      <c r="F42" s="287">
        <f t="shared" si="13"/>
        <v>4000</v>
      </c>
      <c r="G42" s="287">
        <f t="shared" si="13"/>
        <v>4000</v>
      </c>
      <c r="H42" s="287">
        <f t="shared" si="13"/>
        <v>4000</v>
      </c>
      <c r="I42" s="287">
        <f t="shared" si="13"/>
        <v>4000</v>
      </c>
      <c r="J42" s="287">
        <f t="shared" si="13"/>
        <v>4000</v>
      </c>
      <c r="K42" s="287">
        <f t="shared" si="13"/>
        <v>4000</v>
      </c>
      <c r="L42" s="287">
        <f t="shared" si="13"/>
        <v>4000</v>
      </c>
      <c r="M42" s="287">
        <f t="shared" si="13"/>
        <v>4000</v>
      </c>
      <c r="N42" s="287">
        <f t="shared" si="13"/>
        <v>4000</v>
      </c>
      <c r="O42" s="287">
        <f t="shared" si="13"/>
        <v>4000</v>
      </c>
      <c r="P42" s="287">
        <f t="shared" si="13"/>
        <v>4000</v>
      </c>
      <c r="Q42" s="287">
        <f t="shared" si="13"/>
        <v>4000</v>
      </c>
      <c r="R42" s="287">
        <f t="shared" si="13"/>
        <v>4000</v>
      </c>
      <c r="S42" s="287">
        <f t="shared" si="13"/>
        <v>4000</v>
      </c>
      <c r="T42" s="287">
        <f t="shared" si="13"/>
        <v>4000</v>
      </c>
      <c r="U42" s="287">
        <f t="shared" si="13"/>
        <v>4000</v>
      </c>
      <c r="V42" s="287">
        <f t="shared" si="13"/>
        <v>4000</v>
      </c>
      <c r="W42" s="287">
        <f t="shared" si="13"/>
        <v>4000</v>
      </c>
      <c r="X42" s="287">
        <f t="shared" si="13"/>
        <v>4000</v>
      </c>
      <c r="Y42" s="287">
        <f t="shared" si="13"/>
        <v>4000</v>
      </c>
      <c r="Z42" s="287">
        <f t="shared" si="13"/>
        <v>4000</v>
      </c>
      <c r="AA42" s="287">
        <f t="shared" si="13"/>
        <v>4000</v>
      </c>
      <c r="AB42" s="287">
        <f t="shared" si="13"/>
        <v>4000</v>
      </c>
      <c r="AC42" s="287">
        <f t="shared" ref="AC42:AG42" si="14">AC64/25</f>
        <v>4000</v>
      </c>
      <c r="AD42" s="287">
        <f t="shared" si="14"/>
        <v>4000</v>
      </c>
      <c r="AE42" s="287">
        <f t="shared" si="14"/>
        <v>4000</v>
      </c>
      <c r="AF42" s="287">
        <f t="shared" si="14"/>
        <v>4000</v>
      </c>
      <c r="AG42" s="287">
        <f t="shared" si="14"/>
        <v>4000</v>
      </c>
      <c r="AH42" s="266"/>
      <c r="AI42" s="266"/>
      <c r="AJ42" s="266"/>
      <c r="AK42" s="266"/>
      <c r="AL42" s="266"/>
      <c r="AM42" s="266"/>
    </row>
    <row r="43" spans="1:51" s="97" customFormat="1" ht="13.8">
      <c r="A43" s="285"/>
      <c r="B43" s="283" t="s">
        <v>453</v>
      </c>
      <c r="C43" s="286" t="s">
        <v>74</v>
      </c>
      <c r="D43" s="287">
        <f>10395.51/5</f>
        <v>2079.1019999999999</v>
      </c>
      <c r="E43" s="241">
        <v>2079.1019999999999</v>
      </c>
      <c r="F43" s="241">
        <v>2079.1019999999999</v>
      </c>
      <c r="G43" s="241">
        <v>2079.1019999999999</v>
      </c>
      <c r="H43" s="241">
        <v>2079.1019999999999</v>
      </c>
      <c r="I43" s="241">
        <v>2079.1019999999999</v>
      </c>
      <c r="J43" s="241">
        <v>2079.1019999999999</v>
      </c>
      <c r="K43" s="241">
        <v>2079.1019999999999</v>
      </c>
      <c r="L43" s="241">
        <v>2079.1019999999999</v>
      </c>
      <c r="M43" s="241">
        <v>2079.1019999999999</v>
      </c>
      <c r="N43" s="241">
        <v>2079.1019999999999</v>
      </c>
      <c r="O43" s="241">
        <v>2079.1019999999999</v>
      </c>
      <c r="P43" s="241">
        <v>2079.1019999999999</v>
      </c>
      <c r="Q43" s="241">
        <v>2079.1019999999999</v>
      </c>
      <c r="R43" s="241">
        <v>2079.1019999999999</v>
      </c>
      <c r="S43" s="241">
        <v>2079.1019999999999</v>
      </c>
      <c r="T43" s="241">
        <v>2079.1019999999999</v>
      </c>
      <c r="U43" s="241">
        <v>2079.1019999999999</v>
      </c>
      <c r="V43" s="241">
        <v>2079.1019999999999</v>
      </c>
      <c r="W43" s="241">
        <v>2079.1019999999999</v>
      </c>
      <c r="X43" s="241">
        <v>2079.1019999999999</v>
      </c>
      <c r="Y43" s="241">
        <v>2079.1019999999999</v>
      </c>
      <c r="Z43" s="241">
        <v>2079.1019999999999</v>
      </c>
      <c r="AA43" s="241">
        <v>2079.1019999999999</v>
      </c>
      <c r="AB43" s="295">
        <v>2079.1019999999999</v>
      </c>
      <c r="AC43" s="295">
        <v>2080.1019999999999</v>
      </c>
      <c r="AD43" s="295">
        <v>2081.1019999999999</v>
      </c>
      <c r="AE43" s="295">
        <v>2082.1019999999999</v>
      </c>
      <c r="AF43" s="295">
        <v>2083.1019999999999</v>
      </c>
      <c r="AG43" s="295">
        <v>2084.1019999999999</v>
      </c>
      <c r="AH43" s="266"/>
      <c r="AI43" s="266"/>
      <c r="AJ43" s="266"/>
      <c r="AK43" s="266"/>
      <c r="AL43" s="266"/>
      <c r="AM43" s="266"/>
    </row>
    <row r="44" spans="1:51" s="97" customFormat="1" ht="13.8">
      <c r="A44" s="285"/>
      <c r="B44" s="238" t="s">
        <v>47</v>
      </c>
      <c r="C44" s="286"/>
      <c r="D44" s="287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  <c r="AA44" s="241"/>
      <c r="AB44" s="288"/>
      <c r="AC44" s="288"/>
      <c r="AD44" s="288"/>
      <c r="AE44" s="288"/>
      <c r="AF44" s="288"/>
      <c r="AG44" s="288"/>
      <c r="AH44" s="266"/>
      <c r="AI44" s="266"/>
      <c r="AJ44" s="266"/>
      <c r="AK44" s="266"/>
      <c r="AL44" s="266"/>
      <c r="AM44" s="266"/>
    </row>
    <row r="45" spans="1:51" s="97" customFormat="1" ht="13.8">
      <c r="A45" s="285"/>
      <c r="B45" s="283" t="s">
        <v>81</v>
      </c>
      <c r="C45" s="286" t="s">
        <v>448</v>
      </c>
      <c r="D45" s="287">
        <f>SUM(D66:W66)</f>
        <v>30000</v>
      </c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41"/>
      <c r="S45" s="241"/>
      <c r="T45" s="241"/>
      <c r="U45" s="241"/>
      <c r="V45" s="241"/>
      <c r="W45" s="241"/>
      <c r="X45" s="241">
        <f>X64-D45</f>
        <v>70000</v>
      </c>
      <c r="Y45" s="241"/>
      <c r="Z45" s="241"/>
      <c r="AA45" s="241"/>
      <c r="AB45" s="288"/>
      <c r="AC45" s="288"/>
      <c r="AD45" s="288"/>
      <c r="AE45" s="288"/>
      <c r="AF45" s="288"/>
      <c r="AG45" s="288"/>
      <c r="AH45" s="266"/>
      <c r="AI45" s="266"/>
      <c r="AJ45" s="266"/>
      <c r="AK45" s="266"/>
      <c r="AL45" s="266"/>
      <c r="AM45" s="266"/>
    </row>
    <row r="46" spans="1:51" s="97" customFormat="1" ht="13.8">
      <c r="A46" s="285"/>
      <c r="B46" s="283" t="s">
        <v>82</v>
      </c>
      <c r="C46" s="286" t="s">
        <v>449</v>
      </c>
      <c r="D46" s="287">
        <f>SUM(D66:H66)</f>
        <v>7500</v>
      </c>
      <c r="E46" s="241"/>
      <c r="F46" s="241"/>
      <c r="G46" s="241"/>
      <c r="H46" s="241"/>
      <c r="I46" s="241">
        <f>SUM(I66:M66)</f>
        <v>7500</v>
      </c>
      <c r="J46" s="241"/>
      <c r="K46" s="241"/>
      <c r="L46" s="241"/>
      <c r="M46" s="241"/>
      <c r="N46" s="241">
        <f>SUM(N66:R66)</f>
        <v>7500</v>
      </c>
      <c r="O46" s="241"/>
      <c r="P46" s="241"/>
      <c r="Q46" s="241"/>
      <c r="R46" s="241"/>
      <c r="S46" s="241">
        <f>SUM(S66:W66)</f>
        <v>7500</v>
      </c>
      <c r="T46" s="241"/>
      <c r="U46" s="241"/>
      <c r="V46" s="241"/>
      <c r="W46" s="241"/>
      <c r="X46" s="241">
        <f>SUM(X66:AB66)</f>
        <v>7500</v>
      </c>
      <c r="Y46" s="241"/>
      <c r="Z46" s="241"/>
      <c r="AA46" s="241"/>
      <c r="AB46" s="288"/>
      <c r="AC46" s="288"/>
      <c r="AD46" s="288"/>
      <c r="AE46" s="288"/>
      <c r="AF46" s="288"/>
      <c r="AG46" s="288"/>
      <c r="AH46" s="266"/>
      <c r="AI46" s="266"/>
      <c r="AJ46" s="266"/>
      <c r="AK46" s="266"/>
      <c r="AL46" s="266"/>
      <c r="AM46" s="266"/>
    </row>
    <row r="47" spans="1:51" s="97" customFormat="1" ht="13.8">
      <c r="A47" s="285"/>
      <c r="B47" s="283" t="s">
        <v>83</v>
      </c>
      <c r="C47" s="286" t="s">
        <v>450</v>
      </c>
      <c r="D47" s="287">
        <f>D66</f>
        <v>1500</v>
      </c>
      <c r="E47" s="241">
        <f t="shared" ref="E47:AB47" si="15">E66</f>
        <v>1500</v>
      </c>
      <c r="F47" s="241">
        <f t="shared" si="15"/>
        <v>1500</v>
      </c>
      <c r="G47" s="241">
        <f t="shared" si="15"/>
        <v>1500</v>
      </c>
      <c r="H47" s="241">
        <f t="shared" si="15"/>
        <v>1500</v>
      </c>
      <c r="I47" s="241">
        <f t="shared" si="15"/>
        <v>1500</v>
      </c>
      <c r="J47" s="241">
        <f t="shared" si="15"/>
        <v>1500</v>
      </c>
      <c r="K47" s="241">
        <f t="shared" si="15"/>
        <v>1500</v>
      </c>
      <c r="L47" s="241">
        <f t="shared" si="15"/>
        <v>1500</v>
      </c>
      <c r="M47" s="241">
        <f t="shared" si="15"/>
        <v>1500</v>
      </c>
      <c r="N47" s="241">
        <f t="shared" si="15"/>
        <v>1500</v>
      </c>
      <c r="O47" s="241">
        <f t="shared" si="15"/>
        <v>1500</v>
      </c>
      <c r="P47" s="241">
        <f t="shared" si="15"/>
        <v>1500</v>
      </c>
      <c r="Q47" s="241">
        <f t="shared" si="15"/>
        <v>1500</v>
      </c>
      <c r="R47" s="241">
        <f t="shared" si="15"/>
        <v>1500</v>
      </c>
      <c r="S47" s="241">
        <f t="shared" si="15"/>
        <v>1500</v>
      </c>
      <c r="T47" s="241">
        <f t="shared" si="15"/>
        <v>1500</v>
      </c>
      <c r="U47" s="241">
        <f t="shared" si="15"/>
        <v>1500</v>
      </c>
      <c r="V47" s="241">
        <f t="shared" si="15"/>
        <v>1500</v>
      </c>
      <c r="W47" s="241">
        <f t="shared" si="15"/>
        <v>1500</v>
      </c>
      <c r="X47" s="241">
        <f t="shared" si="15"/>
        <v>1500</v>
      </c>
      <c r="Y47" s="241">
        <f t="shared" si="15"/>
        <v>1500</v>
      </c>
      <c r="Z47" s="241">
        <f t="shared" si="15"/>
        <v>1500</v>
      </c>
      <c r="AA47" s="241">
        <f t="shared" si="15"/>
        <v>1500</v>
      </c>
      <c r="AB47" s="241">
        <f t="shared" si="15"/>
        <v>1500</v>
      </c>
      <c r="AC47" s="241">
        <f t="shared" ref="AC47:AG47" si="16">AC66</f>
        <v>1500</v>
      </c>
      <c r="AD47" s="241">
        <f t="shared" si="16"/>
        <v>1500</v>
      </c>
      <c r="AE47" s="241">
        <f t="shared" si="16"/>
        <v>1500</v>
      </c>
      <c r="AF47" s="241">
        <f t="shared" si="16"/>
        <v>1500</v>
      </c>
      <c r="AG47" s="241">
        <f t="shared" si="16"/>
        <v>1500</v>
      </c>
      <c r="AH47" s="266"/>
      <c r="AI47" s="266"/>
      <c r="AJ47" s="266"/>
      <c r="AK47" s="266"/>
      <c r="AL47" s="266"/>
      <c r="AM47" s="266"/>
    </row>
    <row r="48" spans="1:51" s="97" customFormat="1" ht="13.8">
      <c r="A48" s="285"/>
      <c r="B48" s="296" t="s">
        <v>403</v>
      </c>
      <c r="C48" s="286"/>
      <c r="D48" s="287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41"/>
      <c r="S48" s="241"/>
      <c r="T48" s="241"/>
      <c r="U48" s="241"/>
      <c r="V48" s="241"/>
      <c r="W48" s="241"/>
      <c r="X48" s="241"/>
      <c r="Y48" s="241"/>
      <c r="Z48" s="241"/>
      <c r="AA48" s="241"/>
      <c r="AB48" s="241"/>
      <c r="AC48" s="241"/>
      <c r="AD48" s="241"/>
      <c r="AE48" s="241"/>
      <c r="AF48" s="241"/>
      <c r="AG48" s="241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</row>
    <row r="49" spans="1:51" s="97" customFormat="1" ht="13.8">
      <c r="A49" s="285"/>
      <c r="B49" s="173" t="s">
        <v>406</v>
      </c>
      <c r="C49" s="286" t="s">
        <v>74</v>
      </c>
      <c r="D49" s="287">
        <f>'Data Dasar'!$E$20</f>
        <v>9.5449999999999999</v>
      </c>
      <c r="E49" s="241">
        <f>'Data Dasar'!$E$20</f>
        <v>9.5449999999999999</v>
      </c>
      <c r="F49" s="241">
        <f>'Data Dasar'!$E$20</f>
        <v>9.5449999999999999</v>
      </c>
      <c r="G49" s="241">
        <f>'Data Dasar'!$E$20</f>
        <v>9.5449999999999999</v>
      </c>
      <c r="H49" s="241">
        <f>'Data Dasar'!$E$20</f>
        <v>9.5449999999999999</v>
      </c>
      <c r="I49" s="241">
        <f>'Data Dasar'!$E$20</f>
        <v>9.5449999999999999</v>
      </c>
      <c r="J49" s="241">
        <f>'Data Dasar'!$E$20</f>
        <v>9.5449999999999999</v>
      </c>
      <c r="K49" s="241">
        <f>'Data Dasar'!$E$20</f>
        <v>9.5449999999999999</v>
      </c>
      <c r="L49" s="241">
        <f>'Data Dasar'!$E$20</f>
        <v>9.5449999999999999</v>
      </c>
      <c r="M49" s="241">
        <f>'Data Dasar'!$E$20</f>
        <v>9.5449999999999999</v>
      </c>
      <c r="N49" s="241">
        <f>'Data Dasar'!$E$20</f>
        <v>9.5449999999999999</v>
      </c>
      <c r="O49" s="241">
        <f>'Data Dasar'!$E$20</f>
        <v>9.5449999999999999</v>
      </c>
      <c r="P49" s="241">
        <f>'Data Dasar'!$E$20</f>
        <v>9.5449999999999999</v>
      </c>
      <c r="Q49" s="241">
        <f>'Data Dasar'!$E$20</f>
        <v>9.5449999999999999</v>
      </c>
      <c r="R49" s="241">
        <f>'Data Dasar'!$E$20</f>
        <v>9.5449999999999999</v>
      </c>
      <c r="S49" s="241">
        <f>'Data Dasar'!$E$20</f>
        <v>9.5449999999999999</v>
      </c>
      <c r="T49" s="241">
        <f>'Data Dasar'!$E$20</f>
        <v>9.5449999999999999</v>
      </c>
      <c r="U49" s="241">
        <f>'Data Dasar'!$E$20</f>
        <v>9.5449999999999999</v>
      </c>
      <c r="V49" s="241">
        <f>'Data Dasar'!$E$20</f>
        <v>9.5449999999999999</v>
      </c>
      <c r="W49" s="241">
        <f>'Data Dasar'!$E$20</f>
        <v>9.5449999999999999</v>
      </c>
      <c r="X49" s="241">
        <f>'Data Dasar'!$E$20</f>
        <v>9.5449999999999999</v>
      </c>
      <c r="Y49" s="241">
        <f>'Data Dasar'!$E$20</f>
        <v>9.5449999999999999</v>
      </c>
      <c r="Z49" s="241">
        <f>'Data Dasar'!$E$20</f>
        <v>9.5449999999999999</v>
      </c>
      <c r="AA49" s="241">
        <f>'Data Dasar'!$E$20</f>
        <v>9.5449999999999999</v>
      </c>
      <c r="AB49" s="241">
        <f>'Data Dasar'!$E$20</f>
        <v>9.5449999999999999</v>
      </c>
      <c r="AC49" s="241">
        <f>'Data Dasar'!$E$20</f>
        <v>9.5449999999999999</v>
      </c>
      <c r="AD49" s="241">
        <f>'Data Dasar'!$E$20</f>
        <v>9.5449999999999999</v>
      </c>
      <c r="AE49" s="241">
        <f>'Data Dasar'!$E$20</f>
        <v>9.5449999999999999</v>
      </c>
      <c r="AF49" s="241">
        <f>'Data Dasar'!$E$20</f>
        <v>9.5449999999999999</v>
      </c>
      <c r="AG49" s="241">
        <f>'Data Dasar'!$E$20</f>
        <v>9.5449999999999999</v>
      </c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</row>
    <row r="50" spans="1:51" s="97" customFormat="1" ht="13.8">
      <c r="A50" s="285"/>
      <c r="B50" s="173" t="s">
        <v>407</v>
      </c>
      <c r="C50" s="286" t="s">
        <v>74</v>
      </c>
      <c r="D50" s="287">
        <f>'Data Dasar'!$E$21</f>
        <v>19.229999999999997</v>
      </c>
      <c r="E50" s="241">
        <f>'Data Dasar'!$E$21</f>
        <v>19.229999999999997</v>
      </c>
      <c r="F50" s="241">
        <f>'Data Dasar'!$E$21</f>
        <v>19.229999999999997</v>
      </c>
      <c r="G50" s="241">
        <f>'Data Dasar'!$E$21</f>
        <v>19.229999999999997</v>
      </c>
      <c r="H50" s="241">
        <f>'Data Dasar'!$E$21</f>
        <v>19.229999999999997</v>
      </c>
      <c r="I50" s="241">
        <f>'Data Dasar'!$E$21</f>
        <v>19.229999999999997</v>
      </c>
      <c r="J50" s="241">
        <f>'Data Dasar'!$E$21</f>
        <v>19.229999999999997</v>
      </c>
      <c r="K50" s="241">
        <f>'Data Dasar'!$E$21</f>
        <v>19.229999999999997</v>
      </c>
      <c r="L50" s="241">
        <f>'Data Dasar'!$E$21</f>
        <v>19.229999999999997</v>
      </c>
      <c r="M50" s="241">
        <f>'Data Dasar'!$E$21</f>
        <v>19.229999999999997</v>
      </c>
      <c r="N50" s="241">
        <f>'Data Dasar'!$E$21</f>
        <v>19.229999999999997</v>
      </c>
      <c r="O50" s="241">
        <f>'Data Dasar'!$E$21</f>
        <v>19.229999999999997</v>
      </c>
      <c r="P50" s="241">
        <f>'Data Dasar'!$E$21</f>
        <v>19.229999999999997</v>
      </c>
      <c r="Q50" s="241">
        <f>'Data Dasar'!$E$21</f>
        <v>19.229999999999997</v>
      </c>
      <c r="R50" s="241">
        <f>'Data Dasar'!$E$21</f>
        <v>19.229999999999997</v>
      </c>
      <c r="S50" s="241">
        <f>'Data Dasar'!$E$21</f>
        <v>19.229999999999997</v>
      </c>
      <c r="T50" s="241">
        <f>'Data Dasar'!$E$21</f>
        <v>19.229999999999997</v>
      </c>
      <c r="U50" s="241">
        <f>'Data Dasar'!$E$21</f>
        <v>19.229999999999997</v>
      </c>
      <c r="V50" s="241">
        <f>'Data Dasar'!$E$21</f>
        <v>19.229999999999997</v>
      </c>
      <c r="W50" s="241">
        <f>'Data Dasar'!$E$21</f>
        <v>19.229999999999997</v>
      </c>
      <c r="X50" s="241">
        <f>'Data Dasar'!$E$21</f>
        <v>19.229999999999997</v>
      </c>
      <c r="Y50" s="241">
        <f>'Data Dasar'!$E$21</f>
        <v>19.229999999999997</v>
      </c>
      <c r="Z50" s="241">
        <f>'Data Dasar'!$E$21</f>
        <v>19.229999999999997</v>
      </c>
      <c r="AA50" s="241">
        <f>'Data Dasar'!$E$21</f>
        <v>19.229999999999997</v>
      </c>
      <c r="AB50" s="241">
        <f>'Data Dasar'!$E$21</f>
        <v>19.229999999999997</v>
      </c>
      <c r="AC50" s="241">
        <f>'Data Dasar'!$E$21</f>
        <v>19.229999999999997</v>
      </c>
      <c r="AD50" s="241">
        <f>'Data Dasar'!$E$21</f>
        <v>19.229999999999997</v>
      </c>
      <c r="AE50" s="241">
        <f>'Data Dasar'!$E$21</f>
        <v>19.229999999999997</v>
      </c>
      <c r="AF50" s="241">
        <f>'Data Dasar'!$E$21</f>
        <v>19.229999999999997</v>
      </c>
      <c r="AG50" s="241">
        <f>'Data Dasar'!$E$21</f>
        <v>19.229999999999997</v>
      </c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</row>
    <row r="51" spans="1:51" s="97" customFormat="1" ht="13.8">
      <c r="A51" s="285"/>
      <c r="B51" s="238" t="s">
        <v>49</v>
      </c>
      <c r="C51" s="286"/>
      <c r="D51" s="287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1"/>
      <c r="AB51" s="288"/>
      <c r="AC51" s="288"/>
      <c r="AD51" s="288"/>
      <c r="AE51" s="288"/>
      <c r="AF51" s="288"/>
      <c r="AG51" s="288"/>
      <c r="AH51" s="266"/>
      <c r="AI51" s="266"/>
      <c r="AJ51" s="266"/>
      <c r="AK51" s="266"/>
      <c r="AL51" s="266"/>
      <c r="AM51" s="266"/>
    </row>
    <row r="52" spans="1:51" s="97" customFormat="1" ht="13.8">
      <c r="A52" s="285"/>
      <c r="B52" s="173" t="s">
        <v>400</v>
      </c>
      <c r="C52" s="286" t="s">
        <v>43</v>
      </c>
      <c r="D52" s="287">
        <f>D69</f>
        <v>26187.029530978572</v>
      </c>
      <c r="E52" s="241">
        <f t="shared" ref="E52:AB54" si="17">E69</f>
        <v>26187.029530978572</v>
      </c>
      <c r="F52" s="241">
        <f t="shared" si="17"/>
        <v>26187.029530978572</v>
      </c>
      <c r="G52" s="241">
        <f t="shared" si="17"/>
        <v>26187.029530978572</v>
      </c>
      <c r="H52" s="241">
        <f t="shared" si="17"/>
        <v>26187.029530978572</v>
      </c>
      <c r="I52" s="241">
        <f t="shared" si="17"/>
        <v>26187.029530978572</v>
      </c>
      <c r="J52" s="241">
        <f t="shared" si="17"/>
        <v>26187.029530978572</v>
      </c>
      <c r="K52" s="241">
        <f t="shared" si="17"/>
        <v>26187.029530978572</v>
      </c>
      <c r="L52" s="241">
        <f t="shared" si="17"/>
        <v>26187.029530978572</v>
      </c>
      <c r="M52" s="241">
        <f t="shared" si="17"/>
        <v>26187.029530978572</v>
      </c>
      <c r="N52" s="241">
        <f t="shared" si="17"/>
        <v>26187.029530978572</v>
      </c>
      <c r="O52" s="241">
        <f t="shared" si="17"/>
        <v>26187.029530978572</v>
      </c>
      <c r="P52" s="241">
        <f t="shared" si="17"/>
        <v>26187.029530978572</v>
      </c>
      <c r="Q52" s="241">
        <f t="shared" si="17"/>
        <v>26187.029530978572</v>
      </c>
      <c r="R52" s="241">
        <f t="shared" si="17"/>
        <v>26187.029530978572</v>
      </c>
      <c r="S52" s="241">
        <f t="shared" si="17"/>
        <v>26187.029530978572</v>
      </c>
      <c r="T52" s="241">
        <f t="shared" si="17"/>
        <v>26187.029530978572</v>
      </c>
      <c r="U52" s="241">
        <f t="shared" si="17"/>
        <v>26187.029530978572</v>
      </c>
      <c r="V52" s="241">
        <f t="shared" si="17"/>
        <v>26187.029530978572</v>
      </c>
      <c r="W52" s="241">
        <f t="shared" si="17"/>
        <v>26187.029530978572</v>
      </c>
      <c r="X52" s="241">
        <f t="shared" si="17"/>
        <v>26187.029530978572</v>
      </c>
      <c r="Y52" s="241">
        <f t="shared" si="17"/>
        <v>26187.029530978572</v>
      </c>
      <c r="Z52" s="241">
        <f t="shared" si="17"/>
        <v>26187.029530978572</v>
      </c>
      <c r="AA52" s="241">
        <f t="shared" si="17"/>
        <v>26187.029530978572</v>
      </c>
      <c r="AB52" s="241">
        <f t="shared" si="17"/>
        <v>26187.029530978572</v>
      </c>
      <c r="AC52" s="241">
        <f t="shared" ref="AC52:AG52" si="18">AC69</f>
        <v>26187.029530978572</v>
      </c>
      <c r="AD52" s="241">
        <f t="shared" si="18"/>
        <v>26187.029530978572</v>
      </c>
      <c r="AE52" s="241">
        <f t="shared" si="18"/>
        <v>26187.029530978572</v>
      </c>
      <c r="AF52" s="241">
        <f t="shared" si="18"/>
        <v>26187.029530978572</v>
      </c>
      <c r="AG52" s="241">
        <f t="shared" si="18"/>
        <v>26187.029530978572</v>
      </c>
      <c r="AH52" s="266"/>
      <c r="AI52" s="266"/>
      <c r="AJ52" s="266"/>
      <c r="AK52" s="266"/>
      <c r="AL52" s="266"/>
      <c r="AM52" s="266"/>
    </row>
    <row r="53" spans="1:51" s="97" customFormat="1" ht="13.8">
      <c r="A53" s="285"/>
      <c r="B53" s="173" t="s">
        <v>401</v>
      </c>
      <c r="C53" s="286" t="s">
        <v>43</v>
      </c>
      <c r="D53" s="287">
        <f t="shared" ref="D53:S54" si="19">D70</f>
        <v>732.96093191184991</v>
      </c>
      <c r="E53" s="241">
        <f t="shared" si="19"/>
        <v>732.96093191184991</v>
      </c>
      <c r="F53" s="241">
        <f t="shared" si="19"/>
        <v>732.96093191184991</v>
      </c>
      <c r="G53" s="241">
        <f t="shared" si="19"/>
        <v>732.96093191184991</v>
      </c>
      <c r="H53" s="241">
        <f t="shared" si="19"/>
        <v>732.96093191184991</v>
      </c>
      <c r="I53" s="241">
        <f t="shared" si="19"/>
        <v>732.96093191184991</v>
      </c>
      <c r="J53" s="241">
        <f t="shared" si="19"/>
        <v>732.96093191184991</v>
      </c>
      <c r="K53" s="241">
        <f t="shared" si="19"/>
        <v>732.96093191184991</v>
      </c>
      <c r="L53" s="241">
        <f t="shared" si="19"/>
        <v>732.96093191184991</v>
      </c>
      <c r="M53" s="241">
        <f t="shared" si="19"/>
        <v>732.96093191184991</v>
      </c>
      <c r="N53" s="241">
        <f t="shared" si="19"/>
        <v>732.96093191184991</v>
      </c>
      <c r="O53" s="241">
        <f t="shared" si="19"/>
        <v>732.96093191184991</v>
      </c>
      <c r="P53" s="241">
        <f t="shared" si="19"/>
        <v>732.96093191184991</v>
      </c>
      <c r="Q53" s="241">
        <f t="shared" si="19"/>
        <v>732.96093191184991</v>
      </c>
      <c r="R53" s="241">
        <f t="shared" si="19"/>
        <v>732.96093191184991</v>
      </c>
      <c r="S53" s="241">
        <f t="shared" si="19"/>
        <v>732.96093191184991</v>
      </c>
      <c r="T53" s="241">
        <f t="shared" si="17"/>
        <v>732.96093191184991</v>
      </c>
      <c r="U53" s="241">
        <f t="shared" si="17"/>
        <v>732.96093191184991</v>
      </c>
      <c r="V53" s="241">
        <f t="shared" si="17"/>
        <v>732.96093191184991</v>
      </c>
      <c r="W53" s="241">
        <f t="shared" si="17"/>
        <v>732.96093191184991</v>
      </c>
      <c r="X53" s="241">
        <f t="shared" si="17"/>
        <v>732.96093191184991</v>
      </c>
      <c r="Y53" s="241">
        <f t="shared" si="17"/>
        <v>732.96093191184991</v>
      </c>
      <c r="Z53" s="241">
        <f t="shared" si="17"/>
        <v>732.96093191184991</v>
      </c>
      <c r="AA53" s="241">
        <f t="shared" si="17"/>
        <v>732.96093191184991</v>
      </c>
      <c r="AB53" s="241">
        <f t="shared" si="17"/>
        <v>732.96093191184991</v>
      </c>
      <c r="AC53" s="241">
        <f t="shared" ref="AC53:AG53" si="20">AC70</f>
        <v>732.96093191184991</v>
      </c>
      <c r="AD53" s="241">
        <f t="shared" si="20"/>
        <v>732.96093191184991</v>
      </c>
      <c r="AE53" s="241">
        <f t="shared" si="20"/>
        <v>732.96093191184991</v>
      </c>
      <c r="AF53" s="241">
        <f t="shared" si="20"/>
        <v>732.96093191184991</v>
      </c>
      <c r="AG53" s="241">
        <f t="shared" si="20"/>
        <v>732.96093191184991</v>
      </c>
      <c r="AH53" s="266"/>
      <c r="AI53" s="266"/>
      <c r="AJ53" s="266"/>
      <c r="AK53" s="266"/>
      <c r="AL53" s="266"/>
      <c r="AM53" s="266"/>
    </row>
    <row r="54" spans="1:51" s="97" customFormat="1" ht="13.8">
      <c r="A54" s="285"/>
      <c r="B54" s="173" t="s">
        <v>402</v>
      </c>
      <c r="C54" s="286" t="s">
        <v>43</v>
      </c>
      <c r="D54" s="287">
        <f t="shared" si="19"/>
        <v>80.00953710957458</v>
      </c>
      <c r="E54" s="241">
        <f t="shared" si="17"/>
        <v>80.00953710957458</v>
      </c>
      <c r="F54" s="241">
        <f t="shared" si="17"/>
        <v>80.00953710957458</v>
      </c>
      <c r="G54" s="241">
        <f t="shared" si="17"/>
        <v>80.00953710957458</v>
      </c>
      <c r="H54" s="241">
        <f t="shared" si="17"/>
        <v>80.00953710957458</v>
      </c>
      <c r="I54" s="241">
        <f t="shared" si="17"/>
        <v>80.00953710957458</v>
      </c>
      <c r="J54" s="241">
        <f t="shared" si="17"/>
        <v>80.00953710957458</v>
      </c>
      <c r="K54" s="241">
        <f t="shared" si="17"/>
        <v>80.00953710957458</v>
      </c>
      <c r="L54" s="241">
        <f t="shared" si="17"/>
        <v>80.00953710957458</v>
      </c>
      <c r="M54" s="241">
        <f t="shared" si="17"/>
        <v>80.00953710957458</v>
      </c>
      <c r="N54" s="241">
        <f t="shared" si="17"/>
        <v>80.00953710957458</v>
      </c>
      <c r="O54" s="241">
        <f t="shared" si="17"/>
        <v>80.00953710957458</v>
      </c>
      <c r="P54" s="241">
        <f t="shared" si="17"/>
        <v>80.00953710957458</v>
      </c>
      <c r="Q54" s="241">
        <f t="shared" si="17"/>
        <v>80.00953710957458</v>
      </c>
      <c r="R54" s="241">
        <f t="shared" si="17"/>
        <v>80.00953710957458</v>
      </c>
      <c r="S54" s="241">
        <f t="shared" si="17"/>
        <v>80.00953710957458</v>
      </c>
      <c r="T54" s="241">
        <f t="shared" si="17"/>
        <v>80.00953710957458</v>
      </c>
      <c r="U54" s="241">
        <f t="shared" si="17"/>
        <v>80.00953710957458</v>
      </c>
      <c r="V54" s="241">
        <f t="shared" si="17"/>
        <v>80.00953710957458</v>
      </c>
      <c r="W54" s="241">
        <f t="shared" si="17"/>
        <v>80.00953710957458</v>
      </c>
      <c r="X54" s="241">
        <f t="shared" si="17"/>
        <v>80.00953710957458</v>
      </c>
      <c r="Y54" s="241">
        <f t="shared" si="17"/>
        <v>80.00953710957458</v>
      </c>
      <c r="Z54" s="241">
        <f t="shared" si="17"/>
        <v>80.00953710957458</v>
      </c>
      <c r="AA54" s="241">
        <f t="shared" si="17"/>
        <v>80.00953710957458</v>
      </c>
      <c r="AB54" s="241">
        <f t="shared" si="17"/>
        <v>80.00953710957458</v>
      </c>
      <c r="AC54" s="241">
        <f t="shared" ref="AC54:AG54" si="21">AC71</f>
        <v>80.00953710957458</v>
      </c>
      <c r="AD54" s="241">
        <f t="shared" si="21"/>
        <v>80.00953710957458</v>
      </c>
      <c r="AE54" s="241">
        <f t="shared" si="21"/>
        <v>80.00953710957458</v>
      </c>
      <c r="AF54" s="241">
        <f t="shared" si="21"/>
        <v>80.00953710957458</v>
      </c>
      <c r="AG54" s="241">
        <f t="shared" si="21"/>
        <v>80.00953710957458</v>
      </c>
      <c r="AH54" s="266"/>
      <c r="AI54" s="266"/>
      <c r="AJ54" s="266"/>
      <c r="AK54" s="266"/>
      <c r="AL54" s="266"/>
      <c r="AM54" s="266"/>
    </row>
    <row r="55" spans="1:51" s="97" customFormat="1" ht="13.8">
      <c r="A55" s="285"/>
      <c r="B55" s="173" t="s">
        <v>408</v>
      </c>
      <c r="C55" s="286" t="s">
        <v>43</v>
      </c>
      <c r="D55" s="287">
        <f>D69</f>
        <v>26187.029530978572</v>
      </c>
      <c r="E55" s="241">
        <f t="shared" ref="E55:AB55" si="22">E69</f>
        <v>26187.029530978572</v>
      </c>
      <c r="F55" s="241">
        <f t="shared" si="22"/>
        <v>26187.029530978572</v>
      </c>
      <c r="G55" s="241">
        <f t="shared" si="22"/>
        <v>26187.029530978572</v>
      </c>
      <c r="H55" s="241">
        <f t="shared" si="22"/>
        <v>26187.029530978572</v>
      </c>
      <c r="I55" s="241">
        <f t="shared" si="22"/>
        <v>26187.029530978572</v>
      </c>
      <c r="J55" s="241">
        <f t="shared" si="22"/>
        <v>26187.029530978572</v>
      </c>
      <c r="K55" s="241">
        <f t="shared" si="22"/>
        <v>26187.029530978572</v>
      </c>
      <c r="L55" s="241">
        <f t="shared" si="22"/>
        <v>26187.029530978572</v>
      </c>
      <c r="M55" s="241">
        <f t="shared" si="22"/>
        <v>26187.029530978572</v>
      </c>
      <c r="N55" s="241">
        <f t="shared" si="22"/>
        <v>26187.029530978572</v>
      </c>
      <c r="O55" s="241">
        <f t="shared" si="22"/>
        <v>26187.029530978572</v>
      </c>
      <c r="P55" s="241">
        <f t="shared" si="22"/>
        <v>26187.029530978572</v>
      </c>
      <c r="Q55" s="241">
        <f t="shared" si="22"/>
        <v>26187.029530978572</v>
      </c>
      <c r="R55" s="241">
        <f t="shared" si="22"/>
        <v>26187.029530978572</v>
      </c>
      <c r="S55" s="241">
        <f t="shared" si="22"/>
        <v>26187.029530978572</v>
      </c>
      <c r="T55" s="241">
        <f t="shared" si="22"/>
        <v>26187.029530978572</v>
      </c>
      <c r="U55" s="241">
        <f t="shared" si="22"/>
        <v>26187.029530978572</v>
      </c>
      <c r="V55" s="241">
        <f t="shared" si="22"/>
        <v>26187.029530978572</v>
      </c>
      <c r="W55" s="241">
        <f t="shared" si="22"/>
        <v>26187.029530978572</v>
      </c>
      <c r="X55" s="241">
        <f t="shared" si="22"/>
        <v>26187.029530978572</v>
      </c>
      <c r="Y55" s="241">
        <f t="shared" si="22"/>
        <v>26187.029530978572</v>
      </c>
      <c r="Z55" s="241">
        <f t="shared" si="22"/>
        <v>26187.029530978572</v>
      </c>
      <c r="AA55" s="241">
        <f t="shared" si="22"/>
        <v>26187.029530978572</v>
      </c>
      <c r="AB55" s="241">
        <f t="shared" si="22"/>
        <v>26187.029530978572</v>
      </c>
      <c r="AC55" s="241">
        <f t="shared" ref="AC55:AG55" si="23">AC69</f>
        <v>26187.029530978572</v>
      </c>
      <c r="AD55" s="241">
        <f t="shared" si="23"/>
        <v>26187.029530978572</v>
      </c>
      <c r="AE55" s="241">
        <f t="shared" si="23"/>
        <v>26187.029530978572</v>
      </c>
      <c r="AF55" s="241">
        <f t="shared" si="23"/>
        <v>26187.029530978572</v>
      </c>
      <c r="AG55" s="241">
        <f t="shared" si="23"/>
        <v>26187.029530978572</v>
      </c>
      <c r="AH55" s="266"/>
      <c r="AI55" s="266"/>
      <c r="AJ55" s="266"/>
      <c r="AK55" s="266"/>
      <c r="AL55" s="266"/>
      <c r="AM55" s="266"/>
    </row>
    <row r="56" spans="1:51" s="97" customFormat="1" ht="13.8">
      <c r="A56" s="285"/>
      <c r="B56" s="173" t="s">
        <v>409</v>
      </c>
      <c r="C56" s="286" t="s">
        <v>43</v>
      </c>
      <c r="D56" s="287">
        <f>D70</f>
        <v>732.96093191184991</v>
      </c>
      <c r="E56" s="241">
        <f t="shared" ref="E56:AB56" si="24">E70</f>
        <v>732.96093191184991</v>
      </c>
      <c r="F56" s="241">
        <f t="shared" si="24"/>
        <v>732.96093191184991</v>
      </c>
      <c r="G56" s="241">
        <f t="shared" si="24"/>
        <v>732.96093191184991</v>
      </c>
      <c r="H56" s="241">
        <f t="shared" si="24"/>
        <v>732.96093191184991</v>
      </c>
      <c r="I56" s="241">
        <f t="shared" si="24"/>
        <v>732.96093191184991</v>
      </c>
      <c r="J56" s="241">
        <f t="shared" si="24"/>
        <v>732.96093191184991</v>
      </c>
      <c r="K56" s="241">
        <f t="shared" si="24"/>
        <v>732.96093191184991</v>
      </c>
      <c r="L56" s="241">
        <f t="shared" si="24"/>
        <v>732.96093191184991</v>
      </c>
      <c r="M56" s="241">
        <f t="shared" si="24"/>
        <v>732.96093191184991</v>
      </c>
      <c r="N56" s="241">
        <f t="shared" si="24"/>
        <v>732.96093191184991</v>
      </c>
      <c r="O56" s="241">
        <f t="shared" si="24"/>
        <v>732.96093191184991</v>
      </c>
      <c r="P56" s="241">
        <f t="shared" si="24"/>
        <v>732.96093191184991</v>
      </c>
      <c r="Q56" s="241">
        <f t="shared" si="24"/>
        <v>732.96093191184991</v>
      </c>
      <c r="R56" s="241">
        <f t="shared" si="24"/>
        <v>732.96093191184991</v>
      </c>
      <c r="S56" s="241">
        <f t="shared" si="24"/>
        <v>732.96093191184991</v>
      </c>
      <c r="T56" s="241">
        <f t="shared" si="24"/>
        <v>732.96093191184991</v>
      </c>
      <c r="U56" s="241">
        <f t="shared" si="24"/>
        <v>732.96093191184991</v>
      </c>
      <c r="V56" s="241">
        <f t="shared" si="24"/>
        <v>732.96093191184991</v>
      </c>
      <c r="W56" s="241">
        <f t="shared" si="24"/>
        <v>732.96093191184991</v>
      </c>
      <c r="X56" s="241">
        <f t="shared" si="24"/>
        <v>732.96093191184991</v>
      </c>
      <c r="Y56" s="241">
        <f t="shared" si="24"/>
        <v>732.96093191184991</v>
      </c>
      <c r="Z56" s="241">
        <f t="shared" si="24"/>
        <v>732.96093191184991</v>
      </c>
      <c r="AA56" s="241">
        <f t="shared" si="24"/>
        <v>732.96093191184991</v>
      </c>
      <c r="AB56" s="241">
        <f t="shared" si="24"/>
        <v>732.96093191184991</v>
      </c>
      <c r="AC56" s="241">
        <f t="shared" ref="AC56:AG56" si="25">AC70</f>
        <v>732.96093191184991</v>
      </c>
      <c r="AD56" s="241">
        <f t="shared" si="25"/>
        <v>732.96093191184991</v>
      </c>
      <c r="AE56" s="241">
        <f t="shared" si="25"/>
        <v>732.96093191184991</v>
      </c>
      <c r="AF56" s="241">
        <f t="shared" si="25"/>
        <v>732.96093191184991</v>
      </c>
      <c r="AG56" s="241">
        <f t="shared" si="25"/>
        <v>732.96093191184991</v>
      </c>
      <c r="AH56" s="266"/>
      <c r="AI56" s="266"/>
      <c r="AJ56" s="266"/>
      <c r="AK56" s="266"/>
      <c r="AL56" s="266"/>
      <c r="AM56" s="266"/>
    </row>
    <row r="57" spans="1:51" s="97" customFormat="1" ht="13.8">
      <c r="A57" s="285"/>
      <c r="B57" s="173" t="s">
        <v>410</v>
      </c>
      <c r="C57" s="286" t="s">
        <v>43</v>
      </c>
      <c r="D57" s="287">
        <f>D71</f>
        <v>80.00953710957458</v>
      </c>
      <c r="E57" s="241">
        <f t="shared" ref="E57:AB57" si="26">E71</f>
        <v>80.00953710957458</v>
      </c>
      <c r="F57" s="241">
        <f t="shared" si="26"/>
        <v>80.00953710957458</v>
      </c>
      <c r="G57" s="241">
        <f t="shared" si="26"/>
        <v>80.00953710957458</v>
      </c>
      <c r="H57" s="241">
        <f t="shared" si="26"/>
        <v>80.00953710957458</v>
      </c>
      <c r="I57" s="241">
        <f t="shared" si="26"/>
        <v>80.00953710957458</v>
      </c>
      <c r="J57" s="241">
        <f t="shared" si="26"/>
        <v>80.00953710957458</v>
      </c>
      <c r="K57" s="241">
        <f t="shared" si="26"/>
        <v>80.00953710957458</v>
      </c>
      <c r="L57" s="241">
        <f t="shared" si="26"/>
        <v>80.00953710957458</v>
      </c>
      <c r="M57" s="241">
        <f t="shared" si="26"/>
        <v>80.00953710957458</v>
      </c>
      <c r="N57" s="241">
        <f t="shared" si="26"/>
        <v>80.00953710957458</v>
      </c>
      <c r="O57" s="241">
        <f t="shared" si="26"/>
        <v>80.00953710957458</v>
      </c>
      <c r="P57" s="241">
        <f t="shared" si="26"/>
        <v>80.00953710957458</v>
      </c>
      <c r="Q57" s="241">
        <f t="shared" si="26"/>
        <v>80.00953710957458</v>
      </c>
      <c r="R57" s="241">
        <f t="shared" si="26"/>
        <v>80.00953710957458</v>
      </c>
      <c r="S57" s="241">
        <f t="shared" si="26"/>
        <v>80.00953710957458</v>
      </c>
      <c r="T57" s="241">
        <f t="shared" si="26"/>
        <v>80.00953710957458</v>
      </c>
      <c r="U57" s="241">
        <f t="shared" si="26"/>
        <v>80.00953710957458</v>
      </c>
      <c r="V57" s="241">
        <f t="shared" si="26"/>
        <v>80.00953710957458</v>
      </c>
      <c r="W57" s="241">
        <f t="shared" si="26"/>
        <v>80.00953710957458</v>
      </c>
      <c r="X57" s="241">
        <f t="shared" si="26"/>
        <v>80.00953710957458</v>
      </c>
      <c r="Y57" s="241">
        <f t="shared" si="26"/>
        <v>80.00953710957458</v>
      </c>
      <c r="Z57" s="241">
        <f t="shared" si="26"/>
        <v>80.00953710957458</v>
      </c>
      <c r="AA57" s="241">
        <f t="shared" si="26"/>
        <v>80.00953710957458</v>
      </c>
      <c r="AB57" s="241">
        <f t="shared" si="26"/>
        <v>80.00953710957458</v>
      </c>
      <c r="AC57" s="241">
        <f t="shared" ref="AC57:AG57" si="27">AC71</f>
        <v>80.00953710957458</v>
      </c>
      <c r="AD57" s="241">
        <f t="shared" si="27"/>
        <v>80.00953710957458</v>
      </c>
      <c r="AE57" s="241">
        <f t="shared" si="27"/>
        <v>80.00953710957458</v>
      </c>
      <c r="AF57" s="241">
        <f t="shared" si="27"/>
        <v>80.00953710957458</v>
      </c>
      <c r="AG57" s="241">
        <f t="shared" si="27"/>
        <v>80.00953710957458</v>
      </c>
      <c r="AH57" s="266"/>
      <c r="AI57" s="266"/>
      <c r="AJ57" s="266"/>
      <c r="AK57" s="266"/>
      <c r="AL57" s="266"/>
      <c r="AM57" s="266"/>
    </row>
    <row r="58" spans="1:51" s="97" customFormat="1" ht="13.8">
      <c r="A58" s="285"/>
      <c r="B58" s="173" t="s">
        <v>1</v>
      </c>
      <c r="C58" s="286" t="s">
        <v>80</v>
      </c>
      <c r="D58" s="287">
        <f>'Data Dasar'!$E$15</f>
        <v>100000</v>
      </c>
      <c r="E58" s="241">
        <f>'Data Dasar'!$E$15</f>
        <v>100000</v>
      </c>
      <c r="F58" s="241">
        <f>'Data Dasar'!$E$15</f>
        <v>100000</v>
      </c>
      <c r="G58" s="241">
        <f>'Data Dasar'!$E$15</f>
        <v>100000</v>
      </c>
      <c r="H58" s="241">
        <f>'Data Dasar'!$E$15</f>
        <v>100000</v>
      </c>
      <c r="I58" s="241">
        <f>'Data Dasar'!$E$15</f>
        <v>100000</v>
      </c>
      <c r="J58" s="241">
        <f>'Data Dasar'!$E$15</f>
        <v>100000</v>
      </c>
      <c r="K58" s="241">
        <f>'Data Dasar'!$E$15</f>
        <v>100000</v>
      </c>
      <c r="L58" s="241">
        <f>'Data Dasar'!$E$15</f>
        <v>100000</v>
      </c>
      <c r="M58" s="241">
        <f>'Data Dasar'!$E$15</f>
        <v>100000</v>
      </c>
      <c r="N58" s="241">
        <f>'Data Dasar'!$E$15</f>
        <v>100000</v>
      </c>
      <c r="O58" s="241">
        <f>'Data Dasar'!$E$15</f>
        <v>100000</v>
      </c>
      <c r="P58" s="241">
        <f>'Data Dasar'!$E$15</f>
        <v>100000</v>
      </c>
      <c r="Q58" s="241">
        <f>'Data Dasar'!$E$15</f>
        <v>100000</v>
      </c>
      <c r="R58" s="241">
        <f>'Data Dasar'!$E$15</f>
        <v>100000</v>
      </c>
      <c r="S58" s="241">
        <f>'Data Dasar'!$E$15</f>
        <v>100000</v>
      </c>
      <c r="T58" s="241">
        <f>'Data Dasar'!$E$15</f>
        <v>100000</v>
      </c>
      <c r="U58" s="241">
        <f>'Data Dasar'!$E$15</f>
        <v>100000</v>
      </c>
      <c r="V58" s="241">
        <f>'Data Dasar'!$E$15</f>
        <v>100000</v>
      </c>
      <c r="W58" s="241">
        <f>'Data Dasar'!$E$15</f>
        <v>100000</v>
      </c>
      <c r="X58" s="241">
        <f>'Data Dasar'!$E$15</f>
        <v>100000</v>
      </c>
      <c r="Y58" s="241">
        <f>'Data Dasar'!$E$15</f>
        <v>100000</v>
      </c>
      <c r="Z58" s="241">
        <f>'Data Dasar'!$E$15</f>
        <v>100000</v>
      </c>
      <c r="AA58" s="241">
        <f>'Data Dasar'!$E$15</f>
        <v>100000</v>
      </c>
      <c r="AB58" s="241">
        <f>'Data Dasar'!$E$15</f>
        <v>100000</v>
      </c>
      <c r="AC58" s="241">
        <f>'Data Dasar'!$E$15</f>
        <v>100000</v>
      </c>
      <c r="AD58" s="241">
        <f>'Data Dasar'!$E$15</f>
        <v>100000</v>
      </c>
      <c r="AE58" s="241">
        <f>'Data Dasar'!$E$15</f>
        <v>100000</v>
      </c>
      <c r="AF58" s="241">
        <f>'Data Dasar'!$E$15</f>
        <v>100000</v>
      </c>
      <c r="AG58" s="241">
        <f>'Data Dasar'!$E$15</f>
        <v>100000</v>
      </c>
      <c r="AH58" s="266"/>
      <c r="AI58" s="266"/>
      <c r="AJ58" s="266"/>
      <c r="AK58" s="266"/>
      <c r="AL58" s="266"/>
      <c r="AM58" s="266"/>
    </row>
    <row r="59" spans="1:51" s="97" customFormat="1" ht="13.8">
      <c r="A59" s="285"/>
      <c r="B59" s="173" t="s">
        <v>50</v>
      </c>
      <c r="C59" s="286" t="s">
        <v>48</v>
      </c>
      <c r="D59" s="287">
        <v>1</v>
      </c>
      <c r="E59" s="241">
        <v>1</v>
      </c>
      <c r="F59" s="241">
        <v>1</v>
      </c>
      <c r="G59" s="241">
        <v>1</v>
      </c>
      <c r="H59" s="241">
        <v>1</v>
      </c>
      <c r="I59" s="241">
        <v>1</v>
      </c>
      <c r="J59" s="241">
        <v>1</v>
      </c>
      <c r="K59" s="241">
        <v>1</v>
      </c>
      <c r="L59" s="241">
        <v>1</v>
      </c>
      <c r="M59" s="241">
        <v>1</v>
      </c>
      <c r="N59" s="241">
        <v>1</v>
      </c>
      <c r="O59" s="241">
        <v>1</v>
      </c>
      <c r="P59" s="241">
        <v>1</v>
      </c>
      <c r="Q59" s="241">
        <v>1</v>
      </c>
      <c r="R59" s="241">
        <v>1</v>
      </c>
      <c r="S59" s="241">
        <v>1</v>
      </c>
      <c r="T59" s="241">
        <v>1</v>
      </c>
      <c r="U59" s="241">
        <v>1</v>
      </c>
      <c r="V59" s="241">
        <v>1</v>
      </c>
      <c r="W59" s="241">
        <v>1</v>
      </c>
      <c r="X59" s="241">
        <v>1</v>
      </c>
      <c r="Y59" s="241">
        <v>1</v>
      </c>
      <c r="Z59" s="241">
        <v>1</v>
      </c>
      <c r="AA59" s="241">
        <v>1</v>
      </c>
      <c r="AB59" s="288">
        <v>1</v>
      </c>
      <c r="AC59" s="288">
        <v>1</v>
      </c>
      <c r="AD59" s="288">
        <v>1</v>
      </c>
      <c r="AE59" s="288">
        <v>1</v>
      </c>
      <c r="AF59" s="288">
        <v>1</v>
      </c>
      <c r="AG59" s="288">
        <v>1</v>
      </c>
      <c r="AH59" s="266"/>
      <c r="AI59" s="266"/>
      <c r="AJ59" s="266"/>
      <c r="AK59" s="266"/>
      <c r="AL59" s="266"/>
      <c r="AM59" s="266"/>
    </row>
    <row r="60" spans="1:51" s="97" customFormat="1" ht="13.8">
      <c r="A60" s="285"/>
      <c r="B60" s="238" t="s">
        <v>51</v>
      </c>
      <c r="C60" s="286" t="s">
        <v>48</v>
      </c>
      <c r="D60" s="287">
        <v>1</v>
      </c>
      <c r="E60" s="241">
        <v>1</v>
      </c>
      <c r="F60" s="241">
        <v>1</v>
      </c>
      <c r="G60" s="241">
        <v>1</v>
      </c>
      <c r="H60" s="241">
        <v>1</v>
      </c>
      <c r="I60" s="241">
        <v>1</v>
      </c>
      <c r="J60" s="241">
        <v>1</v>
      </c>
      <c r="K60" s="241">
        <v>1</v>
      </c>
      <c r="L60" s="241">
        <v>1</v>
      </c>
      <c r="M60" s="241">
        <v>1</v>
      </c>
      <c r="N60" s="241">
        <v>1</v>
      </c>
      <c r="O60" s="241">
        <v>1</v>
      </c>
      <c r="P60" s="241">
        <v>1</v>
      </c>
      <c r="Q60" s="241">
        <v>1</v>
      </c>
      <c r="R60" s="241">
        <v>1</v>
      </c>
      <c r="S60" s="241">
        <v>1</v>
      </c>
      <c r="T60" s="241">
        <v>1</v>
      </c>
      <c r="U60" s="241">
        <v>1</v>
      </c>
      <c r="V60" s="241">
        <v>1</v>
      </c>
      <c r="W60" s="241">
        <v>1</v>
      </c>
      <c r="X60" s="241">
        <v>1</v>
      </c>
      <c r="Y60" s="241">
        <v>1</v>
      </c>
      <c r="Z60" s="241">
        <v>1</v>
      </c>
      <c r="AA60" s="241">
        <v>1</v>
      </c>
      <c r="AB60" s="288">
        <v>1</v>
      </c>
      <c r="AC60" s="288">
        <v>1</v>
      </c>
      <c r="AD60" s="288">
        <v>1</v>
      </c>
      <c r="AE60" s="288">
        <v>1</v>
      </c>
      <c r="AF60" s="288">
        <v>1</v>
      </c>
      <c r="AG60" s="288">
        <v>1</v>
      </c>
      <c r="AH60" s="266"/>
      <c r="AI60" s="266"/>
      <c r="AJ60" s="266"/>
      <c r="AK60" s="266"/>
      <c r="AL60" s="266"/>
      <c r="AM60" s="266"/>
    </row>
    <row r="61" spans="1:51" s="97" customFormat="1" ht="13.8">
      <c r="A61" s="285"/>
      <c r="B61" s="238" t="s">
        <v>52</v>
      </c>
      <c r="C61" s="286" t="s">
        <v>53</v>
      </c>
      <c r="D61" s="293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271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94"/>
      <c r="AC61" s="294"/>
      <c r="AD61" s="294"/>
      <c r="AE61" s="294"/>
      <c r="AF61" s="294"/>
      <c r="AG61" s="294"/>
      <c r="AH61" s="266"/>
      <c r="AI61" s="266"/>
      <c r="AJ61" s="266"/>
      <c r="AK61" s="266"/>
      <c r="AL61" s="266"/>
      <c r="AM61" s="266"/>
    </row>
    <row r="62" spans="1:51" s="97" customFormat="1" ht="13.8">
      <c r="A62" s="285"/>
      <c r="B62" s="238"/>
      <c r="C62" s="286" t="s">
        <v>0</v>
      </c>
      <c r="D62" s="293"/>
      <c r="E62" s="271"/>
      <c r="F62" s="271"/>
      <c r="G62" s="271"/>
      <c r="H62" s="271"/>
      <c r="I62" s="271"/>
      <c r="J62" s="271"/>
      <c r="K62" s="271"/>
      <c r="L62" s="271"/>
      <c r="M62" s="271"/>
      <c r="N62" s="271"/>
      <c r="O62" s="271"/>
      <c r="P62" s="271"/>
      <c r="Q62" s="271"/>
      <c r="R62" s="271"/>
      <c r="S62" s="271"/>
      <c r="T62" s="271"/>
      <c r="U62" s="271"/>
      <c r="V62" s="271"/>
      <c r="W62" s="271"/>
      <c r="X62" s="271"/>
      <c r="Y62" s="271"/>
      <c r="Z62" s="271"/>
      <c r="AA62" s="271"/>
      <c r="AB62" s="294"/>
      <c r="AC62" s="294"/>
      <c r="AD62" s="294"/>
      <c r="AE62" s="294"/>
      <c r="AF62" s="294"/>
      <c r="AG62" s="294"/>
      <c r="AH62" s="266"/>
      <c r="AI62" s="266"/>
      <c r="AJ62" s="266"/>
      <c r="AK62" s="266"/>
      <c r="AL62" s="266"/>
      <c r="AM62" s="266"/>
    </row>
    <row r="63" spans="1:51" ht="15.6">
      <c r="B63" s="189" t="s">
        <v>54</v>
      </c>
      <c r="C63" s="174"/>
      <c r="D63" s="197"/>
      <c r="E63" s="198"/>
      <c r="F63" s="198"/>
      <c r="G63" s="198"/>
      <c r="H63" s="198"/>
      <c r="I63" s="198"/>
      <c r="J63" s="198"/>
      <c r="K63" s="198"/>
      <c r="L63" s="198"/>
      <c r="M63" s="198"/>
      <c r="N63" s="198"/>
      <c r="O63" s="198"/>
      <c r="P63" s="198"/>
      <c r="Q63" s="198"/>
      <c r="R63" s="198"/>
      <c r="S63" s="198"/>
      <c r="T63" s="198"/>
      <c r="U63" s="198"/>
      <c r="V63" s="198"/>
      <c r="W63" s="198"/>
      <c r="X63" s="198"/>
      <c r="Y63" s="198"/>
      <c r="Z63" s="198"/>
      <c r="AA63" s="198"/>
      <c r="AB63" s="195"/>
      <c r="AC63" s="195"/>
      <c r="AD63" s="195"/>
      <c r="AE63" s="195"/>
      <c r="AF63" s="195"/>
      <c r="AG63" s="195"/>
      <c r="AH63" s="194"/>
      <c r="AI63" s="194"/>
      <c r="AJ63" s="194"/>
      <c r="AK63" s="194"/>
      <c r="AL63" s="194"/>
      <c r="AM63" s="194"/>
    </row>
    <row r="64" spans="1:51" s="97" customFormat="1" ht="13.8">
      <c r="A64" s="285"/>
      <c r="B64" s="283" t="s">
        <v>55</v>
      </c>
      <c r="C64" s="286" t="s">
        <v>42</v>
      </c>
      <c r="D64" s="287">
        <f>'Data Dasar'!$E$15</f>
        <v>100000</v>
      </c>
      <c r="E64" s="241">
        <f>'Data Dasar'!$E$15</f>
        <v>100000</v>
      </c>
      <c r="F64" s="241">
        <f>'Data Dasar'!$E$15</f>
        <v>100000</v>
      </c>
      <c r="G64" s="241">
        <f>'Data Dasar'!$E$15</f>
        <v>100000</v>
      </c>
      <c r="H64" s="241">
        <f>'Data Dasar'!$E$15</f>
        <v>100000</v>
      </c>
      <c r="I64" s="241">
        <f>'Data Dasar'!$E$15</f>
        <v>100000</v>
      </c>
      <c r="J64" s="241">
        <f>'Data Dasar'!$E$15</f>
        <v>100000</v>
      </c>
      <c r="K64" s="241">
        <f>'Data Dasar'!$E$15</f>
        <v>100000</v>
      </c>
      <c r="L64" s="241">
        <f>'Data Dasar'!$E$15</f>
        <v>100000</v>
      </c>
      <c r="M64" s="241">
        <f>'Data Dasar'!$E$15</f>
        <v>100000</v>
      </c>
      <c r="N64" s="241">
        <f>'Data Dasar'!$E$15</f>
        <v>100000</v>
      </c>
      <c r="O64" s="241">
        <f>'Data Dasar'!$E$15</f>
        <v>100000</v>
      </c>
      <c r="P64" s="241">
        <f>'Data Dasar'!$E$15</f>
        <v>100000</v>
      </c>
      <c r="Q64" s="241">
        <f>'Data Dasar'!$E$15</f>
        <v>100000</v>
      </c>
      <c r="R64" s="241">
        <f>'Data Dasar'!$E$15</f>
        <v>100000</v>
      </c>
      <c r="S64" s="241">
        <f>'Data Dasar'!$E$15</f>
        <v>100000</v>
      </c>
      <c r="T64" s="241">
        <f>'Data Dasar'!$E$15</f>
        <v>100000</v>
      </c>
      <c r="U64" s="241">
        <f>'Data Dasar'!$E$15</f>
        <v>100000</v>
      </c>
      <c r="V64" s="241">
        <f>'Data Dasar'!$E$15</f>
        <v>100000</v>
      </c>
      <c r="W64" s="241">
        <f>'Data Dasar'!$E$15</f>
        <v>100000</v>
      </c>
      <c r="X64" s="241">
        <f>'Data Dasar'!$E$15</f>
        <v>100000</v>
      </c>
      <c r="Y64" s="241">
        <f>'Data Dasar'!$E$15</f>
        <v>100000</v>
      </c>
      <c r="Z64" s="241">
        <f>'Data Dasar'!$E$15</f>
        <v>100000</v>
      </c>
      <c r="AA64" s="241">
        <f>'Data Dasar'!$E$15</f>
        <v>100000</v>
      </c>
      <c r="AB64" s="288">
        <f>'Data Dasar'!$E$15</f>
        <v>100000</v>
      </c>
      <c r="AC64" s="288">
        <f>'Data Dasar'!$E$15</f>
        <v>100000</v>
      </c>
      <c r="AD64" s="288">
        <f>'Data Dasar'!$E$15</f>
        <v>100000</v>
      </c>
      <c r="AE64" s="288">
        <f>'Data Dasar'!$E$15</f>
        <v>100000</v>
      </c>
      <c r="AF64" s="288">
        <f>'Data Dasar'!$E$15</f>
        <v>100000</v>
      </c>
      <c r="AG64" s="288">
        <f>'Data Dasar'!$E$15</f>
        <v>100000</v>
      </c>
      <c r="AH64" s="266"/>
      <c r="AI64" s="266"/>
      <c r="AJ64" s="266"/>
      <c r="AK64" s="266"/>
      <c r="AL64" s="266"/>
      <c r="AM64" s="266"/>
    </row>
    <row r="65" spans="1:39" s="97" customFormat="1" ht="13.8">
      <c r="A65" s="285"/>
      <c r="B65" s="283" t="s">
        <v>166</v>
      </c>
      <c r="C65" s="286" t="s">
        <v>42</v>
      </c>
      <c r="D65" s="287">
        <f>'Data Dasar'!$E$16</f>
        <v>90736</v>
      </c>
      <c r="E65" s="241">
        <f>'Data Dasar'!$E$16</f>
        <v>90736</v>
      </c>
      <c r="F65" s="241">
        <f>'Data Dasar'!$E$16</f>
        <v>90736</v>
      </c>
      <c r="G65" s="241">
        <f>'Data Dasar'!$E$16</f>
        <v>90736</v>
      </c>
      <c r="H65" s="241">
        <f>'Data Dasar'!$E$16</f>
        <v>90736</v>
      </c>
      <c r="I65" s="241">
        <f>'Data Dasar'!$E$16</f>
        <v>90736</v>
      </c>
      <c r="J65" s="241">
        <f>'Data Dasar'!$E$16</f>
        <v>90736</v>
      </c>
      <c r="K65" s="241">
        <f>'Data Dasar'!$E$16</f>
        <v>90736</v>
      </c>
      <c r="L65" s="241">
        <f>'Data Dasar'!$E$16</f>
        <v>90736</v>
      </c>
      <c r="M65" s="241">
        <f>'Data Dasar'!$E$16</f>
        <v>90736</v>
      </c>
      <c r="N65" s="241">
        <f>'Data Dasar'!$E$16</f>
        <v>90736</v>
      </c>
      <c r="O65" s="241">
        <f>'Data Dasar'!$E$16</f>
        <v>90736</v>
      </c>
      <c r="P65" s="241">
        <f>'Data Dasar'!$E$16</f>
        <v>90736</v>
      </c>
      <c r="Q65" s="241">
        <f>'Data Dasar'!$E$16</f>
        <v>90736</v>
      </c>
      <c r="R65" s="241">
        <f>'Data Dasar'!$E$16</f>
        <v>90736</v>
      </c>
      <c r="S65" s="241">
        <f>'Data Dasar'!$E$16</f>
        <v>90736</v>
      </c>
      <c r="T65" s="241">
        <f>'Data Dasar'!$E$16</f>
        <v>90736</v>
      </c>
      <c r="U65" s="241">
        <f>'Data Dasar'!$E$16</f>
        <v>90736</v>
      </c>
      <c r="V65" s="241">
        <f>'Data Dasar'!$E$16</f>
        <v>90736</v>
      </c>
      <c r="W65" s="241">
        <f>'Data Dasar'!$E$16</f>
        <v>90736</v>
      </c>
      <c r="X65" s="241">
        <f>'Data Dasar'!$E$16</f>
        <v>90736</v>
      </c>
      <c r="Y65" s="241">
        <f>'Data Dasar'!$E$16</f>
        <v>90736</v>
      </c>
      <c r="Z65" s="241">
        <f>'Data Dasar'!$E$16</f>
        <v>90736</v>
      </c>
      <c r="AA65" s="241">
        <f>'Data Dasar'!$E$16</f>
        <v>90736</v>
      </c>
      <c r="AB65" s="288">
        <f>'Data Dasar'!$E$16</f>
        <v>90736</v>
      </c>
      <c r="AC65" s="288">
        <f>'Data Dasar'!$E$16</f>
        <v>90736</v>
      </c>
      <c r="AD65" s="288">
        <f>'Data Dasar'!$E$16</f>
        <v>90736</v>
      </c>
      <c r="AE65" s="288">
        <f>'Data Dasar'!$E$16</f>
        <v>90736</v>
      </c>
      <c r="AF65" s="288">
        <f>'Data Dasar'!$E$16</f>
        <v>90736</v>
      </c>
      <c r="AG65" s="288">
        <f>'Data Dasar'!$E$16</f>
        <v>90736</v>
      </c>
      <c r="AH65" s="266"/>
      <c r="AI65" s="266"/>
      <c r="AJ65" s="266"/>
      <c r="AK65" s="266"/>
      <c r="AL65" s="266"/>
      <c r="AM65" s="266"/>
    </row>
    <row r="66" spans="1:39" s="97" customFormat="1" ht="13.8">
      <c r="A66" s="285"/>
      <c r="B66" s="283" t="s">
        <v>167</v>
      </c>
      <c r="C66" s="286" t="s">
        <v>42</v>
      </c>
      <c r="D66" s="287">
        <f>Produksi!C5</f>
        <v>1500</v>
      </c>
      <c r="E66" s="287">
        <f>Produksi!D5</f>
        <v>1500</v>
      </c>
      <c r="F66" s="287">
        <f>Produksi!E5</f>
        <v>1500</v>
      </c>
      <c r="G66" s="287">
        <f>Produksi!F5</f>
        <v>1500</v>
      </c>
      <c r="H66" s="287">
        <f>Produksi!G5</f>
        <v>1500</v>
      </c>
      <c r="I66" s="287">
        <f>Produksi!H5</f>
        <v>1500</v>
      </c>
      <c r="J66" s="287">
        <f>Produksi!I5</f>
        <v>1500</v>
      </c>
      <c r="K66" s="287">
        <f>Produksi!J5</f>
        <v>1500</v>
      </c>
      <c r="L66" s="287">
        <f>Produksi!K5</f>
        <v>1500</v>
      </c>
      <c r="M66" s="287">
        <f>Produksi!L5</f>
        <v>1500</v>
      </c>
      <c r="N66" s="287">
        <f>Produksi!M5</f>
        <v>1500</v>
      </c>
      <c r="O66" s="287">
        <f>Produksi!N5</f>
        <v>1500</v>
      </c>
      <c r="P66" s="287">
        <f>Produksi!O5</f>
        <v>1500</v>
      </c>
      <c r="Q66" s="287">
        <f>Produksi!P5</f>
        <v>1500</v>
      </c>
      <c r="R66" s="287">
        <f>Produksi!Q5</f>
        <v>1500</v>
      </c>
      <c r="S66" s="287">
        <f>Produksi!R5</f>
        <v>1500</v>
      </c>
      <c r="T66" s="287">
        <f>Produksi!S5</f>
        <v>1500</v>
      </c>
      <c r="U66" s="287">
        <f>Produksi!T5</f>
        <v>1500</v>
      </c>
      <c r="V66" s="287">
        <f>Produksi!U5</f>
        <v>1500</v>
      </c>
      <c r="W66" s="287">
        <f>Produksi!V5</f>
        <v>1500</v>
      </c>
      <c r="X66" s="287">
        <f>Produksi!W5</f>
        <v>1500</v>
      </c>
      <c r="Y66" s="287">
        <f>Produksi!X5</f>
        <v>1500</v>
      </c>
      <c r="Z66" s="287">
        <f>Produksi!Y5</f>
        <v>1500</v>
      </c>
      <c r="AA66" s="287">
        <f>Produksi!Z5</f>
        <v>1500</v>
      </c>
      <c r="AB66" s="287">
        <f>Produksi!AA5</f>
        <v>1500</v>
      </c>
      <c r="AC66" s="287">
        <f>Produksi!AB5</f>
        <v>1500</v>
      </c>
      <c r="AD66" s="287">
        <f>Produksi!AC5</f>
        <v>1500</v>
      </c>
      <c r="AE66" s="287">
        <f>Produksi!AD5</f>
        <v>1500</v>
      </c>
      <c r="AF66" s="287">
        <f>Produksi!AE5</f>
        <v>1500</v>
      </c>
      <c r="AG66" s="287">
        <f>Produksi!AF5</f>
        <v>1500</v>
      </c>
      <c r="AH66" s="266"/>
      <c r="AI66" s="266"/>
      <c r="AJ66" s="266"/>
      <c r="AK66" s="266"/>
      <c r="AL66" s="266"/>
      <c r="AM66" s="266"/>
    </row>
    <row r="67" spans="1:39" s="97" customFormat="1" ht="13.8">
      <c r="A67" s="285"/>
      <c r="B67" s="238"/>
      <c r="C67" s="286"/>
      <c r="D67" s="293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71"/>
      <c r="X67" s="297"/>
      <c r="Y67" s="297"/>
      <c r="Z67" s="297"/>
      <c r="AA67" s="297"/>
      <c r="AB67" s="298"/>
      <c r="AC67" s="298"/>
      <c r="AD67" s="298"/>
      <c r="AE67" s="298"/>
      <c r="AF67" s="298"/>
      <c r="AG67" s="298"/>
      <c r="AH67" s="266"/>
      <c r="AI67" s="266"/>
      <c r="AJ67" s="266"/>
      <c r="AK67" s="266"/>
      <c r="AL67" s="266"/>
      <c r="AM67" s="266"/>
    </row>
    <row r="68" spans="1:39" s="194" customFormat="1" ht="18">
      <c r="A68" s="209"/>
      <c r="B68" s="210" t="s">
        <v>56</v>
      </c>
      <c r="C68" s="211"/>
      <c r="D68" s="197"/>
      <c r="E68" s="198"/>
      <c r="F68" s="198"/>
      <c r="G68" s="198"/>
      <c r="H68" s="198"/>
      <c r="I68" s="198"/>
      <c r="J68" s="198"/>
      <c r="K68" s="198"/>
      <c r="L68" s="198"/>
      <c r="M68" s="198"/>
      <c r="N68" s="198"/>
      <c r="O68" s="198"/>
      <c r="P68" s="198"/>
      <c r="Q68" s="198"/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208"/>
      <c r="AC68" s="208"/>
      <c r="AD68" s="208"/>
      <c r="AE68" s="208"/>
      <c r="AF68" s="208"/>
      <c r="AG68" s="208"/>
    </row>
    <row r="69" spans="1:39" s="266" customFormat="1" ht="14.1" customHeight="1">
      <c r="A69" s="275"/>
      <c r="B69" s="299" t="s">
        <v>331</v>
      </c>
      <c r="C69" s="300" t="s">
        <v>43</v>
      </c>
      <c r="D69" s="287">
        <f>Produksi!$D$29*D72</f>
        <v>26187.029530978572</v>
      </c>
      <c r="E69" s="241">
        <f>Produksi!$D$29*E72</f>
        <v>26187.029530978572</v>
      </c>
      <c r="F69" s="241">
        <f>Produksi!$D$29*F72</f>
        <v>26187.029530978572</v>
      </c>
      <c r="G69" s="241">
        <f>Produksi!$D$29*G72</f>
        <v>26187.029530978572</v>
      </c>
      <c r="H69" s="241">
        <f>Produksi!$D$29*H72</f>
        <v>26187.029530978572</v>
      </c>
      <c r="I69" s="241">
        <f>Produksi!$D$29*I72</f>
        <v>26187.029530978572</v>
      </c>
      <c r="J69" s="241">
        <f>Produksi!$D$29*J72</f>
        <v>26187.029530978572</v>
      </c>
      <c r="K69" s="241">
        <f>Produksi!$D$29*K72</f>
        <v>26187.029530978572</v>
      </c>
      <c r="L69" s="241">
        <f>Produksi!$D$29*L72</f>
        <v>26187.029530978572</v>
      </c>
      <c r="M69" s="241">
        <f>Produksi!$D$29*M72</f>
        <v>26187.029530978572</v>
      </c>
      <c r="N69" s="241">
        <f>Produksi!$D$29*N72</f>
        <v>26187.029530978572</v>
      </c>
      <c r="O69" s="241">
        <f>Produksi!$D$29*O72</f>
        <v>26187.029530978572</v>
      </c>
      <c r="P69" s="241">
        <f>Produksi!$D$29*P72</f>
        <v>26187.029530978572</v>
      </c>
      <c r="Q69" s="241">
        <f>Produksi!$D$29*Q72</f>
        <v>26187.029530978572</v>
      </c>
      <c r="R69" s="241">
        <f>Produksi!$D$29*R72</f>
        <v>26187.029530978572</v>
      </c>
      <c r="S69" s="241">
        <f>Produksi!$D$29*S72</f>
        <v>26187.029530978572</v>
      </c>
      <c r="T69" s="241">
        <f>Produksi!$D$29*T72</f>
        <v>26187.029530978572</v>
      </c>
      <c r="U69" s="241">
        <f>Produksi!$D$29*U72</f>
        <v>26187.029530978572</v>
      </c>
      <c r="V69" s="241">
        <f>Produksi!$D$29*V72</f>
        <v>26187.029530978572</v>
      </c>
      <c r="W69" s="241">
        <f>Produksi!$D$29*W72</f>
        <v>26187.029530978572</v>
      </c>
      <c r="X69" s="301">
        <f>Produksi!$D$29*X72</f>
        <v>26187.029530978572</v>
      </c>
      <c r="Y69" s="301">
        <f>Produksi!$D$29*Y72</f>
        <v>26187.029530978572</v>
      </c>
      <c r="Z69" s="301">
        <f>Produksi!$D$29*Z72</f>
        <v>26187.029530978572</v>
      </c>
      <c r="AA69" s="301">
        <f>Produksi!$D$29*AA72</f>
        <v>26187.029530978572</v>
      </c>
      <c r="AB69" s="302">
        <f>Produksi!$D$29*AB72</f>
        <v>26187.029530978572</v>
      </c>
      <c r="AC69" s="302">
        <f>Produksi!$D$29*AC72</f>
        <v>26187.029530978572</v>
      </c>
      <c r="AD69" s="302">
        <f>Produksi!$D$29*AD72</f>
        <v>26187.029530978572</v>
      </c>
      <c r="AE69" s="302">
        <f>Produksi!$D$29*AE72</f>
        <v>26187.029530978572</v>
      </c>
      <c r="AF69" s="302">
        <f>Produksi!$D$29*AF72</f>
        <v>26187.029530978572</v>
      </c>
      <c r="AG69" s="302">
        <f>Produksi!$D$29*AG72</f>
        <v>26187.029530978572</v>
      </c>
    </row>
    <row r="70" spans="1:39" s="266" customFormat="1" ht="14.1" customHeight="1">
      <c r="A70" s="275"/>
      <c r="B70" s="299" t="s">
        <v>324</v>
      </c>
      <c r="C70" s="300" t="s">
        <v>43</v>
      </c>
      <c r="D70" s="287">
        <f>Produksi!$D$30*D72</f>
        <v>732.96093191184991</v>
      </c>
      <c r="E70" s="241">
        <f>Produksi!$D$30*E72</f>
        <v>732.96093191184991</v>
      </c>
      <c r="F70" s="241">
        <f>Produksi!$D$30*F72</f>
        <v>732.96093191184991</v>
      </c>
      <c r="G70" s="241">
        <f>Produksi!$D$30*G72</f>
        <v>732.96093191184991</v>
      </c>
      <c r="H70" s="241">
        <f>Produksi!$D$30*H72</f>
        <v>732.96093191184991</v>
      </c>
      <c r="I70" s="241">
        <f>Produksi!$D$30*I72</f>
        <v>732.96093191184991</v>
      </c>
      <c r="J70" s="241">
        <f>Produksi!$D$30*J72</f>
        <v>732.96093191184991</v>
      </c>
      <c r="K70" s="241">
        <f>Produksi!$D$30*K72</f>
        <v>732.96093191184991</v>
      </c>
      <c r="L70" s="241">
        <f>Produksi!$D$30*L72</f>
        <v>732.96093191184991</v>
      </c>
      <c r="M70" s="241">
        <f>Produksi!$D$30*M72</f>
        <v>732.96093191184991</v>
      </c>
      <c r="N70" s="241">
        <f>Produksi!$D$30*N72</f>
        <v>732.96093191184991</v>
      </c>
      <c r="O70" s="241">
        <f>Produksi!$D$30*O72</f>
        <v>732.96093191184991</v>
      </c>
      <c r="P70" s="241">
        <f>Produksi!$D$30*P72</f>
        <v>732.96093191184991</v>
      </c>
      <c r="Q70" s="241">
        <f>Produksi!$D$30*Q72</f>
        <v>732.96093191184991</v>
      </c>
      <c r="R70" s="241">
        <f>Produksi!$D$30*R72</f>
        <v>732.96093191184991</v>
      </c>
      <c r="S70" s="241">
        <f>Produksi!$D$30*S72</f>
        <v>732.96093191184991</v>
      </c>
      <c r="T70" s="241">
        <f>Produksi!$D$30*T72</f>
        <v>732.96093191184991</v>
      </c>
      <c r="U70" s="241">
        <f>Produksi!$D$30*U72</f>
        <v>732.96093191184991</v>
      </c>
      <c r="V70" s="241">
        <f>Produksi!$D$30*V72</f>
        <v>732.96093191184991</v>
      </c>
      <c r="W70" s="241">
        <f>Produksi!$D$30*W72</f>
        <v>732.96093191184991</v>
      </c>
      <c r="X70" s="301">
        <f>Produksi!$D$30*X72</f>
        <v>732.96093191184991</v>
      </c>
      <c r="Y70" s="301">
        <f>Produksi!$D$30*Y72</f>
        <v>732.96093191184991</v>
      </c>
      <c r="Z70" s="301">
        <f>Produksi!$D$30*Z72</f>
        <v>732.96093191184991</v>
      </c>
      <c r="AA70" s="301">
        <f>Produksi!$D$30*AA72</f>
        <v>732.96093191184991</v>
      </c>
      <c r="AB70" s="302">
        <f>Produksi!$D$30*AB72</f>
        <v>732.96093191184991</v>
      </c>
      <c r="AC70" s="302">
        <f>Produksi!$D$30*AC72</f>
        <v>732.96093191184991</v>
      </c>
      <c r="AD70" s="302">
        <f>Produksi!$D$30*AD72</f>
        <v>732.96093191184991</v>
      </c>
      <c r="AE70" s="302">
        <f>Produksi!$D$30*AE72</f>
        <v>732.96093191184991</v>
      </c>
      <c r="AF70" s="302">
        <f>Produksi!$D$30*AF72</f>
        <v>732.96093191184991</v>
      </c>
      <c r="AG70" s="302">
        <f>Produksi!$D$30*AG72</f>
        <v>732.96093191184991</v>
      </c>
    </row>
    <row r="71" spans="1:39" s="266" customFormat="1" ht="14.1" customHeight="1">
      <c r="A71" s="275"/>
      <c r="B71" s="299" t="s">
        <v>332</v>
      </c>
      <c r="C71" s="300" t="s">
        <v>43</v>
      </c>
      <c r="D71" s="287">
        <f>Produksi!$D$31*D72</f>
        <v>80.00953710957458</v>
      </c>
      <c r="E71" s="241">
        <f>Produksi!$D$31*E72</f>
        <v>80.00953710957458</v>
      </c>
      <c r="F71" s="241">
        <f>Produksi!$D$31*F72</f>
        <v>80.00953710957458</v>
      </c>
      <c r="G71" s="241">
        <f>Produksi!$D$31*G72</f>
        <v>80.00953710957458</v>
      </c>
      <c r="H71" s="241">
        <f>Produksi!$D$31*H72</f>
        <v>80.00953710957458</v>
      </c>
      <c r="I71" s="241">
        <f>Produksi!$D$31*I72</f>
        <v>80.00953710957458</v>
      </c>
      <c r="J71" s="241">
        <f>Produksi!$D$31*J72</f>
        <v>80.00953710957458</v>
      </c>
      <c r="K71" s="241">
        <f>Produksi!$D$31*K72</f>
        <v>80.00953710957458</v>
      </c>
      <c r="L71" s="241">
        <f>Produksi!$D$31*L72</f>
        <v>80.00953710957458</v>
      </c>
      <c r="M71" s="241">
        <f>Produksi!$D$31*M72</f>
        <v>80.00953710957458</v>
      </c>
      <c r="N71" s="241">
        <f>Produksi!$D$31*N72</f>
        <v>80.00953710957458</v>
      </c>
      <c r="O71" s="241">
        <f>Produksi!$D$31*O72</f>
        <v>80.00953710957458</v>
      </c>
      <c r="P71" s="241">
        <f>Produksi!$D$31*P72</f>
        <v>80.00953710957458</v>
      </c>
      <c r="Q71" s="241">
        <f>Produksi!$D$31*Q72</f>
        <v>80.00953710957458</v>
      </c>
      <c r="R71" s="241">
        <f>Produksi!$D$31*R72</f>
        <v>80.00953710957458</v>
      </c>
      <c r="S71" s="241">
        <f>Produksi!$D$31*S72</f>
        <v>80.00953710957458</v>
      </c>
      <c r="T71" s="241">
        <f>Produksi!$D$31*T72</f>
        <v>80.00953710957458</v>
      </c>
      <c r="U71" s="241">
        <f>Produksi!$D$31*U72</f>
        <v>80.00953710957458</v>
      </c>
      <c r="V71" s="241">
        <f>Produksi!$D$31*V72</f>
        <v>80.00953710957458</v>
      </c>
      <c r="W71" s="241">
        <f>Produksi!$D$31*W72</f>
        <v>80.00953710957458</v>
      </c>
      <c r="X71" s="301">
        <f>Produksi!$D$31*X72</f>
        <v>80.00953710957458</v>
      </c>
      <c r="Y71" s="301">
        <f>Produksi!$D$31*Y72</f>
        <v>80.00953710957458</v>
      </c>
      <c r="Z71" s="301">
        <f>Produksi!$D$31*Z72</f>
        <v>80.00953710957458</v>
      </c>
      <c r="AA71" s="301">
        <f>Produksi!$D$31*AA72</f>
        <v>80.00953710957458</v>
      </c>
      <c r="AB71" s="302">
        <f>Produksi!$D$31*AB72</f>
        <v>80.00953710957458</v>
      </c>
      <c r="AC71" s="302">
        <f>Produksi!$D$31*AC72</f>
        <v>80.00953710957458</v>
      </c>
      <c r="AD71" s="302">
        <f>Produksi!$D$31*AD72</f>
        <v>80.00953710957458</v>
      </c>
      <c r="AE71" s="302">
        <f>Produksi!$D$31*AE72</f>
        <v>80.00953710957458</v>
      </c>
      <c r="AF71" s="302">
        <f>Produksi!$D$31*AF72</f>
        <v>80.00953710957458</v>
      </c>
      <c r="AG71" s="302">
        <f>Produksi!$D$31*AG72</f>
        <v>80.00953710957458</v>
      </c>
    </row>
    <row r="72" spans="1:39" s="266" customFormat="1" ht="14.1" customHeight="1">
      <c r="A72" s="275"/>
      <c r="B72" s="299" t="s">
        <v>89</v>
      </c>
      <c r="C72" s="300" t="s">
        <v>43</v>
      </c>
      <c r="D72" s="287">
        <f>Produksi!C8</f>
        <v>27000</v>
      </c>
      <c r="E72" s="287">
        <f>Produksi!D8</f>
        <v>27000</v>
      </c>
      <c r="F72" s="287">
        <f>Produksi!E8</f>
        <v>27000</v>
      </c>
      <c r="G72" s="287">
        <f>Produksi!F8</f>
        <v>27000</v>
      </c>
      <c r="H72" s="287">
        <f>Produksi!G8</f>
        <v>27000</v>
      </c>
      <c r="I72" s="287">
        <f>Produksi!H8</f>
        <v>27000</v>
      </c>
      <c r="J72" s="287">
        <f>Produksi!I8</f>
        <v>27000</v>
      </c>
      <c r="K72" s="287">
        <f>Produksi!J8</f>
        <v>27000</v>
      </c>
      <c r="L72" s="287">
        <f>Produksi!K8</f>
        <v>27000</v>
      </c>
      <c r="M72" s="287">
        <f>Produksi!L8</f>
        <v>27000</v>
      </c>
      <c r="N72" s="287">
        <f>Produksi!M8</f>
        <v>27000</v>
      </c>
      <c r="O72" s="287">
        <f>Produksi!N8</f>
        <v>27000</v>
      </c>
      <c r="P72" s="287">
        <f>Produksi!O8</f>
        <v>27000</v>
      </c>
      <c r="Q72" s="287">
        <f>Produksi!P8</f>
        <v>27000</v>
      </c>
      <c r="R72" s="287">
        <f>Produksi!Q8</f>
        <v>27000</v>
      </c>
      <c r="S72" s="287">
        <f>Produksi!R8</f>
        <v>27000</v>
      </c>
      <c r="T72" s="287">
        <f>Produksi!S8</f>
        <v>27000</v>
      </c>
      <c r="U72" s="287">
        <f>Produksi!T8</f>
        <v>27000</v>
      </c>
      <c r="V72" s="287">
        <f>Produksi!U8</f>
        <v>27000</v>
      </c>
      <c r="W72" s="287">
        <f>Produksi!V8</f>
        <v>27000</v>
      </c>
      <c r="X72" s="287">
        <f>Produksi!W8</f>
        <v>27000</v>
      </c>
      <c r="Y72" s="287">
        <f>Produksi!X8</f>
        <v>27000</v>
      </c>
      <c r="Z72" s="287">
        <f>Produksi!Y8</f>
        <v>27000</v>
      </c>
      <c r="AA72" s="287">
        <f>Produksi!Z8</f>
        <v>27000</v>
      </c>
      <c r="AB72" s="287">
        <f>Produksi!AA8</f>
        <v>27000</v>
      </c>
      <c r="AC72" s="287">
        <f>Produksi!AB8</f>
        <v>27000</v>
      </c>
      <c r="AD72" s="287">
        <f>Produksi!AC8</f>
        <v>27000</v>
      </c>
      <c r="AE72" s="287">
        <f>Produksi!AD8</f>
        <v>27000</v>
      </c>
      <c r="AF72" s="287">
        <f>Produksi!AE8</f>
        <v>27000</v>
      </c>
      <c r="AG72" s="287">
        <f>Produksi!AF8</f>
        <v>27000</v>
      </c>
    </row>
    <row r="73" spans="1:39" ht="10.8" thickBot="1">
      <c r="B73" s="212"/>
      <c r="C73" s="213"/>
      <c r="D73" s="214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6"/>
      <c r="AC73" s="216"/>
      <c r="AD73" s="216"/>
      <c r="AE73" s="216"/>
      <c r="AF73" s="216"/>
      <c r="AG73" s="216"/>
      <c r="AH73" s="194"/>
      <c r="AI73" s="194"/>
      <c r="AJ73" s="194"/>
      <c r="AK73" s="194"/>
      <c r="AL73" s="194"/>
      <c r="AM73" s="194"/>
    </row>
    <row r="74" spans="1:39">
      <c r="D74" s="194"/>
      <c r="E74" s="194"/>
      <c r="F74" s="194"/>
      <c r="G74" s="19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</row>
    <row r="75" spans="1:39">
      <c r="D75" s="194"/>
      <c r="E75" s="194"/>
      <c r="F75" s="194"/>
      <c r="G75" s="194"/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</row>
    <row r="76" spans="1:39">
      <c r="B76" s="179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</row>
    <row r="77" spans="1:39">
      <c r="D77" s="194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</row>
    <row r="78" spans="1:39">
      <c r="D78" s="194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4"/>
    </row>
    <row r="79" spans="1:39">
      <c r="D79" s="194"/>
      <c r="E79" s="194"/>
      <c r="F79" s="194"/>
      <c r="G79" s="194"/>
      <c r="H79" s="194"/>
      <c r="I79" s="194"/>
      <c r="J79" s="194"/>
      <c r="K79" s="194"/>
      <c r="L79" s="194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  <c r="AI79" s="194"/>
      <c r="AJ79" s="194"/>
      <c r="AK79" s="194"/>
      <c r="AL79" s="194"/>
      <c r="AM79" s="194"/>
    </row>
    <row r="80" spans="1:39">
      <c r="D80" s="194"/>
      <c r="E80" s="194"/>
      <c r="F80" s="194"/>
      <c r="G80" s="194"/>
      <c r="H80" s="194"/>
      <c r="I80" s="194"/>
      <c r="J80" s="194"/>
      <c r="K80" s="194"/>
      <c r="L80" s="194"/>
      <c r="M80" s="194"/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  <c r="AE80" s="194"/>
      <c r="AF80" s="194"/>
      <c r="AG80" s="194"/>
      <c r="AH80" s="194"/>
      <c r="AI80" s="194"/>
      <c r="AJ80" s="194"/>
      <c r="AK80" s="194"/>
      <c r="AL80" s="194"/>
      <c r="AM80" s="194"/>
    </row>
    <row r="81" spans="4:39">
      <c r="D81" s="194"/>
      <c r="E81" s="194"/>
      <c r="F81" s="194"/>
      <c r="G81" s="194"/>
      <c r="H81" s="194"/>
      <c r="I81" s="194"/>
      <c r="J81" s="194"/>
      <c r="K81" s="194"/>
      <c r="L81" s="194"/>
      <c r="M81" s="194"/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  <c r="AI81" s="194"/>
      <c r="AJ81" s="194"/>
      <c r="AK81" s="194"/>
      <c r="AL81" s="194"/>
      <c r="AM81" s="194"/>
    </row>
    <row r="82" spans="4:39">
      <c r="D82" s="194"/>
      <c r="E82" s="194"/>
      <c r="F82" s="194"/>
      <c r="G82" s="194"/>
      <c r="H82" s="194"/>
      <c r="I82" s="194"/>
      <c r="J82" s="194"/>
      <c r="K82" s="194"/>
      <c r="L82" s="194"/>
      <c r="M82" s="194"/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  <c r="AE82" s="194"/>
      <c r="AF82" s="194"/>
      <c r="AG82" s="194"/>
      <c r="AH82" s="194"/>
      <c r="AI82" s="194"/>
      <c r="AJ82" s="194"/>
      <c r="AK82" s="194"/>
      <c r="AL82" s="194"/>
      <c r="AM82" s="194"/>
    </row>
    <row r="83" spans="4:39">
      <c r="D83" s="194"/>
      <c r="E83" s="194"/>
      <c r="F83" s="194"/>
      <c r="G83" s="194"/>
      <c r="H83" s="194"/>
      <c r="I83" s="194"/>
      <c r="J83" s="194"/>
      <c r="K83" s="194"/>
      <c r="L83" s="194"/>
      <c r="M83" s="194"/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4"/>
      <c r="AA83" s="194"/>
      <c r="AB83" s="194"/>
      <c r="AC83" s="194"/>
      <c r="AD83" s="194"/>
      <c r="AE83" s="194"/>
      <c r="AF83" s="194"/>
      <c r="AG83" s="194"/>
      <c r="AH83" s="194"/>
      <c r="AI83" s="194"/>
      <c r="AJ83" s="194"/>
      <c r="AK83" s="194"/>
      <c r="AL83" s="194"/>
      <c r="AM83" s="194"/>
    </row>
    <row r="84" spans="4:39">
      <c r="D84" s="194"/>
      <c r="E84" s="194"/>
      <c r="F84" s="194"/>
      <c r="G84" s="194"/>
      <c r="H84" s="194"/>
      <c r="I84" s="194"/>
      <c r="J84" s="194"/>
      <c r="K84" s="194"/>
      <c r="L84" s="194"/>
      <c r="M84" s="194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</row>
    <row r="85" spans="4:39">
      <c r="D85" s="194"/>
      <c r="E85" s="194"/>
      <c r="F85" s="194"/>
      <c r="G85" s="194"/>
      <c r="H85" s="194"/>
      <c r="I85" s="194"/>
      <c r="J85" s="194"/>
      <c r="K85" s="194"/>
      <c r="L85" s="194"/>
      <c r="M85" s="194"/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4"/>
      <c r="AA85" s="194"/>
      <c r="AB85" s="194"/>
      <c r="AC85" s="194"/>
      <c r="AD85" s="194"/>
      <c r="AE85" s="194"/>
      <c r="AF85" s="194"/>
      <c r="AG85" s="194"/>
      <c r="AH85" s="194"/>
      <c r="AI85" s="194"/>
      <c r="AJ85" s="194"/>
      <c r="AK85" s="194"/>
      <c r="AL85" s="194"/>
      <c r="AM85" s="194"/>
    </row>
    <row r="86" spans="4:39"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4"/>
      <c r="AA86" s="194"/>
      <c r="AB86" s="194"/>
      <c r="AC86" s="194"/>
      <c r="AD86" s="194"/>
      <c r="AE86" s="194"/>
      <c r="AF86" s="194"/>
      <c r="AG86" s="194"/>
      <c r="AH86" s="194"/>
      <c r="AI86" s="194"/>
      <c r="AJ86" s="194"/>
      <c r="AK86" s="194"/>
      <c r="AL86" s="194"/>
      <c r="AM86" s="194"/>
    </row>
    <row r="87" spans="4:39"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4"/>
      <c r="AA87" s="194"/>
      <c r="AB87" s="194"/>
      <c r="AC87" s="194"/>
      <c r="AD87" s="194"/>
      <c r="AE87" s="194"/>
      <c r="AF87" s="194"/>
      <c r="AG87" s="194"/>
      <c r="AH87" s="194"/>
      <c r="AI87" s="194"/>
      <c r="AJ87" s="194"/>
      <c r="AK87" s="194"/>
      <c r="AL87" s="194"/>
      <c r="AM87" s="194"/>
    </row>
    <row r="88" spans="4:39">
      <c r="D88" s="194"/>
      <c r="E88" s="194"/>
      <c r="F88" s="194"/>
      <c r="G88" s="194"/>
      <c r="H88" s="194"/>
      <c r="I88" s="194"/>
      <c r="J88" s="194"/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  <c r="AE88" s="194"/>
      <c r="AF88" s="194"/>
      <c r="AG88" s="194"/>
      <c r="AH88" s="194"/>
      <c r="AI88" s="194"/>
      <c r="AJ88" s="194"/>
      <c r="AK88" s="194"/>
      <c r="AL88" s="194"/>
      <c r="AM88" s="194"/>
    </row>
    <row r="89" spans="4:39">
      <c r="D89" s="194"/>
      <c r="E89" s="194"/>
      <c r="F89" s="194"/>
      <c r="G89" s="194"/>
      <c r="H89" s="194"/>
      <c r="I89" s="194"/>
      <c r="J89" s="194"/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4"/>
      <c r="AA89" s="194"/>
      <c r="AB89" s="194"/>
      <c r="AC89" s="194"/>
      <c r="AD89" s="194"/>
      <c r="AE89" s="194"/>
      <c r="AF89" s="194"/>
      <c r="AG89" s="194"/>
      <c r="AH89" s="194"/>
      <c r="AI89" s="194"/>
      <c r="AJ89" s="194"/>
      <c r="AK89" s="194"/>
      <c r="AL89" s="194"/>
      <c r="AM89" s="194"/>
    </row>
    <row r="90" spans="4:39"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  <c r="AE90" s="194"/>
      <c r="AF90" s="194"/>
      <c r="AG90" s="194"/>
      <c r="AH90" s="194"/>
      <c r="AI90" s="194"/>
      <c r="AJ90" s="194"/>
      <c r="AK90" s="194"/>
      <c r="AL90" s="194"/>
      <c r="AM90" s="194"/>
    </row>
    <row r="91" spans="4:39">
      <c r="D91" s="194"/>
      <c r="E91" s="194"/>
      <c r="F91" s="194"/>
      <c r="G91" s="194"/>
      <c r="H91" s="194"/>
      <c r="I91" s="194"/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4"/>
      <c r="AA91" s="194"/>
      <c r="AB91" s="194"/>
      <c r="AC91" s="194"/>
      <c r="AD91" s="194"/>
      <c r="AE91" s="194"/>
      <c r="AF91" s="194"/>
      <c r="AG91" s="194"/>
      <c r="AH91" s="194"/>
      <c r="AI91" s="194"/>
      <c r="AJ91" s="194"/>
      <c r="AK91" s="194"/>
      <c r="AL91" s="194"/>
      <c r="AM91" s="194"/>
    </row>
    <row r="92" spans="4:39">
      <c r="D92" s="194"/>
      <c r="E92" s="194"/>
      <c r="F92" s="194"/>
      <c r="G92" s="194"/>
      <c r="H92" s="194"/>
      <c r="I92" s="194"/>
      <c r="J92" s="194"/>
      <c r="K92" s="194"/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  <c r="AE92" s="194"/>
      <c r="AF92" s="194"/>
      <c r="AG92" s="194"/>
      <c r="AH92" s="194"/>
      <c r="AI92" s="194"/>
      <c r="AJ92" s="194"/>
      <c r="AK92" s="194"/>
      <c r="AL92" s="194"/>
      <c r="AM92" s="194"/>
    </row>
    <row r="93" spans="4:39">
      <c r="D93" s="194"/>
      <c r="E93" s="194"/>
      <c r="F93" s="194"/>
      <c r="G93" s="194"/>
      <c r="H93" s="194"/>
      <c r="I93" s="194"/>
      <c r="J93" s="194"/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  <c r="AD93" s="194"/>
      <c r="AE93" s="194"/>
      <c r="AF93" s="194"/>
      <c r="AG93" s="194"/>
      <c r="AH93" s="194"/>
      <c r="AI93" s="194"/>
      <c r="AJ93" s="194"/>
      <c r="AK93" s="194"/>
      <c r="AL93" s="194"/>
      <c r="AM93" s="194"/>
    </row>
    <row r="94" spans="4:39"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  <c r="AE94" s="194"/>
      <c r="AF94" s="194"/>
      <c r="AG94" s="194"/>
      <c r="AH94" s="194"/>
      <c r="AI94" s="194"/>
      <c r="AJ94" s="194"/>
      <c r="AK94" s="194"/>
      <c r="AL94" s="194"/>
      <c r="AM94" s="194"/>
    </row>
    <row r="95" spans="4:39"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4"/>
      <c r="AA95" s="194"/>
      <c r="AB95" s="194"/>
      <c r="AC95" s="194"/>
      <c r="AD95" s="194"/>
      <c r="AE95" s="194"/>
      <c r="AF95" s="194"/>
      <c r="AG95" s="194"/>
      <c r="AH95" s="194"/>
      <c r="AI95" s="194"/>
      <c r="AJ95" s="194"/>
      <c r="AK95" s="194"/>
      <c r="AL95" s="194"/>
      <c r="AM95" s="194"/>
    </row>
    <row r="96" spans="4:39">
      <c r="D96" s="194"/>
      <c r="E96" s="194"/>
      <c r="F96" s="194"/>
      <c r="G96" s="194"/>
      <c r="H96" s="194"/>
      <c r="I96" s="194"/>
      <c r="J96" s="194"/>
      <c r="K96" s="194"/>
      <c r="L96" s="194"/>
      <c r="M96" s="194"/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4"/>
      <c r="AA96" s="194"/>
      <c r="AB96" s="194"/>
      <c r="AC96" s="194"/>
      <c r="AD96" s="194"/>
      <c r="AE96" s="194"/>
      <c r="AF96" s="194"/>
      <c r="AG96" s="194"/>
      <c r="AH96" s="194"/>
      <c r="AI96" s="194"/>
      <c r="AJ96" s="194"/>
      <c r="AK96" s="194"/>
      <c r="AL96" s="194"/>
      <c r="AM96" s="194"/>
    </row>
    <row r="97" spans="4:39">
      <c r="D97" s="194"/>
      <c r="E97" s="194"/>
      <c r="F97" s="194"/>
      <c r="G97" s="194"/>
      <c r="H97" s="194"/>
      <c r="I97" s="194"/>
      <c r="J97" s="194"/>
      <c r="K97" s="194"/>
      <c r="L97" s="194"/>
      <c r="M97" s="194"/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4"/>
      <c r="AA97" s="194"/>
      <c r="AB97" s="194"/>
      <c r="AC97" s="194"/>
      <c r="AD97" s="194"/>
      <c r="AE97" s="194"/>
      <c r="AF97" s="194"/>
      <c r="AG97" s="194"/>
      <c r="AH97" s="194"/>
      <c r="AI97" s="194"/>
      <c r="AJ97" s="194"/>
      <c r="AK97" s="194"/>
      <c r="AL97" s="194"/>
      <c r="AM97" s="194"/>
    </row>
    <row r="98" spans="4:39">
      <c r="D98" s="194"/>
      <c r="E98" s="194"/>
      <c r="F98" s="194"/>
      <c r="G98" s="194"/>
      <c r="H98" s="194"/>
      <c r="I98" s="194"/>
      <c r="J98" s="194"/>
      <c r="K98" s="194"/>
      <c r="L98" s="194"/>
      <c r="M98" s="194"/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4"/>
      <c r="AA98" s="194"/>
      <c r="AB98" s="194"/>
      <c r="AC98" s="194"/>
      <c r="AD98" s="194"/>
      <c r="AE98" s="194"/>
      <c r="AF98" s="194"/>
      <c r="AG98" s="194"/>
      <c r="AH98" s="194"/>
      <c r="AI98" s="194"/>
      <c r="AJ98" s="194"/>
      <c r="AK98" s="194"/>
      <c r="AL98" s="194"/>
      <c r="AM98" s="194"/>
    </row>
    <row r="99" spans="4:39">
      <c r="D99" s="194"/>
      <c r="E99" s="194"/>
      <c r="F99" s="194"/>
      <c r="G99" s="194"/>
      <c r="H99" s="194"/>
      <c r="I99" s="194"/>
      <c r="J99" s="194"/>
      <c r="K99" s="194"/>
      <c r="L99" s="194"/>
      <c r="M99" s="194"/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4"/>
      <c r="AA99" s="194"/>
      <c r="AB99" s="194"/>
      <c r="AC99" s="194"/>
      <c r="AD99" s="194"/>
      <c r="AE99" s="194"/>
      <c r="AF99" s="194"/>
      <c r="AG99" s="194"/>
      <c r="AH99" s="194"/>
      <c r="AI99" s="194"/>
      <c r="AJ99" s="194"/>
      <c r="AK99" s="194"/>
      <c r="AL99" s="194"/>
      <c r="AM99" s="194"/>
    </row>
    <row r="100" spans="4:39">
      <c r="D100" s="194"/>
      <c r="E100" s="194"/>
      <c r="F100" s="194"/>
      <c r="G100" s="194"/>
      <c r="H100" s="194"/>
      <c r="I100" s="194"/>
      <c r="J100" s="194"/>
      <c r="K100" s="194"/>
      <c r="L100" s="194"/>
      <c r="M100" s="194"/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4"/>
      <c r="AA100" s="194"/>
      <c r="AB100" s="194"/>
      <c r="AC100" s="194"/>
      <c r="AD100" s="194"/>
      <c r="AE100" s="194"/>
      <c r="AF100" s="194"/>
      <c r="AG100" s="194"/>
      <c r="AH100" s="194"/>
      <c r="AI100" s="194"/>
      <c r="AJ100" s="194"/>
      <c r="AK100" s="194"/>
      <c r="AL100" s="194"/>
      <c r="AM100" s="194"/>
    </row>
    <row r="101" spans="4:39">
      <c r="D101" s="194"/>
      <c r="E101" s="194"/>
      <c r="F101" s="194"/>
      <c r="G101" s="194"/>
      <c r="H101" s="194"/>
      <c r="I101" s="194"/>
      <c r="J101" s="194"/>
      <c r="K101" s="194"/>
      <c r="L101" s="194"/>
      <c r="M101" s="194"/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4"/>
      <c r="AA101" s="194"/>
      <c r="AB101" s="194"/>
      <c r="AC101" s="194"/>
      <c r="AD101" s="194"/>
      <c r="AE101" s="194"/>
      <c r="AF101" s="194"/>
      <c r="AG101" s="194"/>
      <c r="AH101" s="194"/>
      <c r="AI101" s="194"/>
      <c r="AJ101" s="194"/>
      <c r="AK101" s="194"/>
      <c r="AL101" s="194"/>
      <c r="AM101" s="194"/>
    </row>
    <row r="102" spans="4:39">
      <c r="D102" s="194"/>
      <c r="E102" s="194"/>
      <c r="F102" s="194"/>
      <c r="G102" s="194"/>
      <c r="H102" s="194"/>
      <c r="I102" s="194"/>
      <c r="J102" s="194"/>
      <c r="K102" s="194"/>
      <c r="L102" s="194"/>
      <c r="M102" s="194"/>
      <c r="N102" s="194"/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4"/>
      <c r="AA102" s="194"/>
      <c r="AB102" s="194"/>
      <c r="AC102" s="194"/>
      <c r="AD102" s="194"/>
      <c r="AE102" s="194"/>
      <c r="AF102" s="194"/>
      <c r="AG102" s="194"/>
      <c r="AH102" s="194"/>
      <c r="AI102" s="194"/>
      <c r="AJ102" s="194"/>
      <c r="AK102" s="194"/>
      <c r="AL102" s="194"/>
      <c r="AM102" s="194"/>
    </row>
    <row r="103" spans="4:39">
      <c r="D103" s="194"/>
      <c r="E103" s="194"/>
      <c r="F103" s="194"/>
      <c r="G103" s="194"/>
      <c r="H103" s="194"/>
      <c r="I103" s="194"/>
      <c r="J103" s="194"/>
      <c r="K103" s="194"/>
      <c r="L103" s="194"/>
      <c r="M103" s="194"/>
      <c r="N103" s="194"/>
      <c r="O103" s="194"/>
      <c r="P103" s="194"/>
      <c r="Q103" s="194"/>
      <c r="R103" s="194"/>
      <c r="S103" s="194"/>
      <c r="T103" s="194"/>
      <c r="U103" s="194"/>
      <c r="V103" s="194"/>
      <c r="W103" s="194"/>
      <c r="X103" s="194"/>
      <c r="Y103" s="194"/>
      <c r="Z103" s="194"/>
      <c r="AA103" s="194"/>
      <c r="AB103" s="194"/>
      <c r="AC103" s="194"/>
      <c r="AD103" s="194"/>
      <c r="AE103" s="194"/>
      <c r="AF103" s="194"/>
      <c r="AG103" s="194"/>
      <c r="AH103" s="194"/>
      <c r="AI103" s="194"/>
      <c r="AJ103" s="194"/>
      <c r="AK103" s="194"/>
      <c r="AL103" s="194"/>
      <c r="AM103" s="194"/>
    </row>
    <row r="104" spans="4:39">
      <c r="D104" s="194"/>
      <c r="E104" s="194"/>
      <c r="F104" s="194"/>
      <c r="G104" s="194"/>
      <c r="H104" s="194"/>
      <c r="I104" s="194"/>
      <c r="J104" s="194"/>
      <c r="K104" s="194"/>
      <c r="L104" s="194"/>
      <c r="M104" s="194"/>
      <c r="N104" s="194"/>
      <c r="O104" s="194"/>
      <c r="P104" s="194"/>
      <c r="Q104" s="194"/>
      <c r="R104" s="194"/>
      <c r="S104" s="194"/>
      <c r="T104" s="194"/>
      <c r="U104" s="194"/>
      <c r="V104" s="194"/>
      <c r="W104" s="194"/>
      <c r="X104" s="194"/>
      <c r="Y104" s="194"/>
      <c r="Z104" s="194"/>
      <c r="AA104" s="194"/>
      <c r="AB104" s="194"/>
      <c r="AC104" s="194"/>
      <c r="AD104" s="194"/>
      <c r="AE104" s="194"/>
      <c r="AF104" s="194"/>
      <c r="AG104" s="194"/>
      <c r="AH104" s="194"/>
      <c r="AI104" s="194"/>
      <c r="AJ104" s="194"/>
      <c r="AK104" s="194"/>
      <c r="AL104" s="194"/>
      <c r="AM104" s="194"/>
    </row>
    <row r="105" spans="4:39">
      <c r="D105" s="194"/>
      <c r="E105" s="194"/>
      <c r="F105" s="194"/>
      <c r="G105" s="194"/>
      <c r="H105" s="194"/>
      <c r="I105" s="194"/>
      <c r="J105" s="194"/>
      <c r="K105" s="194"/>
      <c r="L105" s="194"/>
      <c r="M105" s="194"/>
      <c r="N105" s="194"/>
      <c r="O105" s="194"/>
      <c r="P105" s="194"/>
      <c r="Q105" s="194"/>
      <c r="R105" s="194"/>
      <c r="S105" s="194"/>
      <c r="T105" s="194"/>
      <c r="U105" s="194"/>
      <c r="V105" s="194"/>
      <c r="W105" s="194"/>
      <c r="X105" s="194"/>
      <c r="Y105" s="194"/>
      <c r="Z105" s="194"/>
      <c r="AA105" s="194"/>
      <c r="AB105" s="194"/>
      <c r="AC105" s="194"/>
      <c r="AD105" s="194"/>
      <c r="AE105" s="194"/>
      <c r="AF105" s="194"/>
      <c r="AG105" s="194"/>
      <c r="AH105" s="194"/>
      <c r="AI105" s="194"/>
      <c r="AJ105" s="194"/>
      <c r="AK105" s="194"/>
      <c r="AL105" s="194"/>
      <c r="AM105" s="194"/>
    </row>
    <row r="106" spans="4:39">
      <c r="D106" s="194"/>
      <c r="E106" s="194"/>
      <c r="F106" s="194"/>
      <c r="G106" s="194"/>
      <c r="H106" s="194"/>
      <c r="I106" s="194"/>
      <c r="J106" s="194"/>
      <c r="K106" s="194"/>
      <c r="L106" s="194"/>
      <c r="M106" s="194"/>
      <c r="N106" s="194"/>
      <c r="O106" s="194"/>
      <c r="P106" s="194"/>
      <c r="Q106" s="194"/>
      <c r="R106" s="194"/>
      <c r="S106" s="194"/>
      <c r="T106" s="194"/>
      <c r="U106" s="194"/>
      <c r="V106" s="194"/>
      <c r="W106" s="194"/>
      <c r="X106" s="194"/>
      <c r="Y106" s="194"/>
      <c r="Z106" s="194"/>
      <c r="AA106" s="194"/>
      <c r="AB106" s="194"/>
      <c r="AC106" s="194"/>
      <c r="AD106" s="194"/>
      <c r="AE106" s="194"/>
      <c r="AF106" s="194"/>
      <c r="AG106" s="194"/>
      <c r="AH106" s="194"/>
      <c r="AI106" s="194"/>
      <c r="AJ106" s="194"/>
      <c r="AK106" s="194"/>
      <c r="AL106" s="194"/>
      <c r="AM106" s="194"/>
    </row>
    <row r="107" spans="4:39">
      <c r="D107" s="194"/>
      <c r="E107" s="194"/>
      <c r="F107" s="194"/>
      <c r="G107" s="194"/>
      <c r="H107" s="194"/>
      <c r="I107" s="194"/>
      <c r="J107" s="194"/>
      <c r="K107" s="194"/>
      <c r="L107" s="194"/>
      <c r="M107" s="194"/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4"/>
      <c r="AA107" s="194"/>
      <c r="AB107" s="194"/>
      <c r="AC107" s="194"/>
      <c r="AD107" s="194"/>
      <c r="AE107" s="194"/>
      <c r="AF107" s="194"/>
      <c r="AG107" s="194"/>
      <c r="AH107" s="194"/>
      <c r="AI107" s="194"/>
      <c r="AJ107" s="194"/>
      <c r="AK107" s="194"/>
      <c r="AL107" s="194"/>
      <c r="AM107" s="194"/>
    </row>
    <row r="108" spans="4:39">
      <c r="D108" s="194"/>
      <c r="E108" s="194"/>
      <c r="F108" s="194"/>
      <c r="G108" s="194"/>
      <c r="H108" s="194"/>
      <c r="I108" s="194"/>
      <c r="J108" s="194"/>
      <c r="K108" s="194"/>
      <c r="L108" s="194"/>
      <c r="M108" s="194"/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4"/>
      <c r="AA108" s="194"/>
      <c r="AB108" s="194"/>
      <c r="AC108" s="194"/>
      <c r="AD108" s="194"/>
      <c r="AE108" s="194"/>
      <c r="AF108" s="194"/>
      <c r="AG108" s="194"/>
      <c r="AH108" s="194"/>
      <c r="AI108" s="194"/>
      <c r="AJ108" s="194"/>
      <c r="AK108" s="194"/>
      <c r="AL108" s="194"/>
      <c r="AM108" s="194"/>
    </row>
    <row r="109" spans="4:39">
      <c r="D109" s="194"/>
      <c r="E109" s="194"/>
      <c r="F109" s="194"/>
      <c r="G109" s="194"/>
      <c r="H109" s="194"/>
      <c r="I109" s="194"/>
      <c r="J109" s="194"/>
      <c r="K109" s="194"/>
      <c r="L109" s="194"/>
      <c r="M109" s="194"/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4"/>
      <c r="AA109" s="194"/>
      <c r="AB109" s="194"/>
      <c r="AC109" s="194"/>
      <c r="AD109" s="194"/>
      <c r="AE109" s="194"/>
      <c r="AF109" s="194"/>
      <c r="AG109" s="194"/>
      <c r="AH109" s="194"/>
      <c r="AI109" s="194"/>
      <c r="AJ109" s="194"/>
      <c r="AK109" s="194"/>
      <c r="AL109" s="194"/>
      <c r="AM109" s="194"/>
    </row>
    <row r="110" spans="4:39">
      <c r="D110" s="194"/>
      <c r="E110" s="194"/>
      <c r="F110" s="194"/>
      <c r="G110" s="194"/>
      <c r="H110" s="194"/>
      <c r="I110" s="194"/>
      <c r="J110" s="194"/>
      <c r="K110" s="194"/>
      <c r="L110" s="194"/>
      <c r="M110" s="194"/>
      <c r="N110" s="194"/>
      <c r="O110" s="194"/>
      <c r="P110" s="194"/>
      <c r="Q110" s="194"/>
      <c r="R110" s="194"/>
      <c r="S110" s="194"/>
      <c r="T110" s="194"/>
      <c r="U110" s="194"/>
      <c r="V110" s="194"/>
      <c r="W110" s="194"/>
      <c r="X110" s="194"/>
      <c r="Y110" s="194"/>
      <c r="Z110" s="194"/>
      <c r="AA110" s="194"/>
      <c r="AB110" s="194"/>
      <c r="AC110" s="194"/>
      <c r="AD110" s="194"/>
      <c r="AE110" s="194"/>
      <c r="AF110" s="194"/>
      <c r="AG110" s="194"/>
      <c r="AH110" s="194"/>
      <c r="AI110" s="194"/>
      <c r="AJ110" s="194"/>
      <c r="AK110" s="194"/>
      <c r="AL110" s="194"/>
      <c r="AM110" s="194"/>
    </row>
    <row r="111" spans="4:39">
      <c r="D111" s="194"/>
      <c r="E111" s="194"/>
      <c r="F111" s="194"/>
      <c r="G111" s="194"/>
      <c r="H111" s="194"/>
      <c r="I111" s="194"/>
      <c r="J111" s="194"/>
      <c r="K111" s="194"/>
      <c r="L111" s="194"/>
      <c r="M111" s="194"/>
      <c r="N111" s="194"/>
      <c r="O111" s="194"/>
      <c r="P111" s="194"/>
      <c r="Q111" s="194"/>
      <c r="R111" s="194"/>
      <c r="S111" s="194"/>
      <c r="T111" s="194"/>
      <c r="U111" s="194"/>
      <c r="V111" s="194"/>
      <c r="W111" s="194"/>
      <c r="X111" s="194"/>
      <c r="Y111" s="194"/>
      <c r="Z111" s="194"/>
      <c r="AA111" s="194"/>
      <c r="AB111" s="194"/>
      <c r="AC111" s="194"/>
      <c r="AD111" s="194"/>
      <c r="AE111" s="194"/>
      <c r="AF111" s="194"/>
      <c r="AG111" s="194"/>
      <c r="AH111" s="194"/>
      <c r="AI111" s="194"/>
      <c r="AJ111" s="194"/>
      <c r="AK111" s="194"/>
      <c r="AL111" s="194"/>
      <c r="AM111" s="194"/>
    </row>
    <row r="112" spans="4:39">
      <c r="D112" s="194"/>
      <c r="E112" s="194"/>
      <c r="F112" s="194"/>
      <c r="G112" s="194"/>
      <c r="H112" s="194"/>
      <c r="I112" s="194"/>
      <c r="J112" s="194"/>
      <c r="K112" s="194"/>
      <c r="L112" s="194"/>
      <c r="M112" s="194"/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4"/>
      <c r="AA112" s="194"/>
      <c r="AB112" s="194"/>
      <c r="AC112" s="194"/>
      <c r="AD112" s="194"/>
      <c r="AE112" s="194"/>
      <c r="AF112" s="194"/>
      <c r="AG112" s="194"/>
      <c r="AH112" s="194"/>
      <c r="AI112" s="194"/>
      <c r="AJ112" s="194"/>
      <c r="AK112" s="194"/>
      <c r="AL112" s="194"/>
      <c r="AM112" s="194"/>
    </row>
    <row r="113" spans="4:39">
      <c r="D113" s="194"/>
      <c r="E113" s="194"/>
      <c r="F113" s="194"/>
      <c r="G113" s="194"/>
      <c r="H113" s="194"/>
      <c r="I113" s="194"/>
      <c r="J113" s="194"/>
      <c r="K113" s="194"/>
      <c r="L113" s="194"/>
      <c r="M113" s="194"/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4"/>
      <c r="AA113" s="194"/>
      <c r="AB113" s="194"/>
      <c r="AC113" s="194"/>
      <c r="AD113" s="194"/>
      <c r="AE113" s="194"/>
      <c r="AF113" s="194"/>
      <c r="AG113" s="194"/>
      <c r="AH113" s="194"/>
      <c r="AI113" s="194"/>
      <c r="AJ113" s="194"/>
      <c r="AK113" s="194"/>
      <c r="AL113" s="194"/>
      <c r="AM113" s="194"/>
    </row>
    <row r="114" spans="4:39">
      <c r="D114" s="194"/>
      <c r="E114" s="194"/>
      <c r="F114" s="194"/>
      <c r="G114" s="194"/>
      <c r="H114" s="194"/>
      <c r="I114" s="194"/>
      <c r="J114" s="194"/>
      <c r="K114" s="194"/>
      <c r="L114" s="194"/>
      <c r="M114" s="194"/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  <c r="AE114" s="194"/>
      <c r="AF114" s="194"/>
      <c r="AG114" s="194"/>
      <c r="AH114" s="194"/>
      <c r="AI114" s="194"/>
      <c r="AJ114" s="194"/>
      <c r="AK114" s="194"/>
      <c r="AL114" s="194"/>
      <c r="AM114" s="194"/>
    </row>
    <row r="115" spans="4:39">
      <c r="D115" s="194"/>
      <c r="E115" s="194"/>
      <c r="F115" s="194"/>
      <c r="G115" s="194"/>
      <c r="H115" s="194"/>
      <c r="I115" s="194"/>
      <c r="J115" s="194"/>
      <c r="K115" s="194"/>
      <c r="L115" s="194"/>
      <c r="M115" s="194"/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  <c r="AE115" s="194"/>
      <c r="AF115" s="194"/>
      <c r="AG115" s="194"/>
      <c r="AH115" s="194"/>
      <c r="AI115" s="194"/>
      <c r="AJ115" s="194"/>
      <c r="AK115" s="194"/>
      <c r="AL115" s="194"/>
      <c r="AM115" s="194"/>
    </row>
    <row r="116" spans="4:39">
      <c r="D116" s="194"/>
      <c r="E116" s="194"/>
      <c r="F116" s="194"/>
      <c r="G116" s="194"/>
      <c r="H116" s="194"/>
      <c r="I116" s="194"/>
      <c r="J116" s="194"/>
      <c r="K116" s="194"/>
      <c r="L116" s="194"/>
      <c r="M116" s="194"/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4"/>
      <c r="AA116" s="194"/>
      <c r="AB116" s="194"/>
      <c r="AC116" s="194"/>
      <c r="AD116" s="194"/>
      <c r="AE116" s="194"/>
      <c r="AF116" s="194"/>
      <c r="AG116" s="194"/>
      <c r="AH116" s="194"/>
      <c r="AI116" s="194"/>
      <c r="AJ116" s="194"/>
      <c r="AK116" s="194"/>
      <c r="AL116" s="194"/>
      <c r="AM116" s="194"/>
    </row>
    <row r="117" spans="4:39">
      <c r="D117" s="194"/>
      <c r="E117" s="194"/>
      <c r="F117" s="194"/>
      <c r="G117" s="194"/>
      <c r="H117" s="194"/>
      <c r="I117" s="194"/>
      <c r="J117" s="194"/>
      <c r="K117" s="194"/>
      <c r="L117" s="194"/>
      <c r="M117" s="194"/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4"/>
      <c r="AA117" s="194"/>
      <c r="AB117" s="194"/>
      <c r="AC117" s="194"/>
      <c r="AD117" s="194"/>
      <c r="AE117" s="194"/>
      <c r="AF117" s="194"/>
      <c r="AG117" s="194"/>
      <c r="AH117" s="194"/>
      <c r="AI117" s="194"/>
      <c r="AJ117" s="194"/>
      <c r="AK117" s="194"/>
      <c r="AL117" s="194"/>
      <c r="AM117" s="194"/>
    </row>
    <row r="118" spans="4:39">
      <c r="D118" s="194"/>
      <c r="E118" s="194"/>
      <c r="F118" s="194"/>
      <c r="G118" s="194"/>
      <c r="H118" s="194"/>
      <c r="I118" s="194"/>
      <c r="J118" s="194"/>
      <c r="K118" s="194"/>
      <c r="L118" s="194"/>
      <c r="M118" s="194"/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4"/>
      <c r="AA118" s="194"/>
      <c r="AB118" s="194"/>
      <c r="AC118" s="194"/>
      <c r="AD118" s="194"/>
      <c r="AE118" s="194"/>
      <c r="AF118" s="194"/>
      <c r="AG118" s="194"/>
      <c r="AH118" s="194"/>
      <c r="AI118" s="194"/>
      <c r="AJ118" s="194"/>
      <c r="AK118" s="194"/>
      <c r="AL118" s="194"/>
      <c r="AM118" s="194"/>
    </row>
    <row r="119" spans="4:39">
      <c r="D119" s="194"/>
      <c r="E119" s="194"/>
      <c r="F119" s="194"/>
      <c r="G119" s="194"/>
      <c r="H119" s="194"/>
      <c r="I119" s="194"/>
      <c r="J119" s="194"/>
      <c r="K119" s="194"/>
      <c r="L119" s="194"/>
      <c r="M119" s="194"/>
      <c r="N119" s="194"/>
      <c r="O119" s="194"/>
      <c r="P119" s="194"/>
      <c r="Q119" s="194"/>
      <c r="R119" s="194"/>
      <c r="S119" s="194"/>
      <c r="T119" s="194"/>
      <c r="U119" s="194"/>
      <c r="V119" s="194"/>
      <c r="W119" s="194"/>
      <c r="X119" s="194"/>
      <c r="Y119" s="194"/>
      <c r="Z119" s="194"/>
      <c r="AA119" s="194"/>
      <c r="AB119" s="194"/>
      <c r="AC119" s="194"/>
      <c r="AD119" s="194"/>
      <c r="AE119" s="194"/>
      <c r="AF119" s="194"/>
      <c r="AG119" s="194"/>
      <c r="AH119" s="194"/>
      <c r="AI119" s="194"/>
      <c r="AJ119" s="194"/>
      <c r="AK119" s="194"/>
      <c r="AL119" s="194"/>
      <c r="AM119" s="194"/>
    </row>
    <row r="120" spans="4:39">
      <c r="D120" s="194"/>
      <c r="E120" s="194"/>
      <c r="F120" s="194"/>
      <c r="G120" s="194"/>
      <c r="H120" s="194"/>
      <c r="I120" s="194"/>
      <c r="J120" s="194"/>
      <c r="K120" s="194"/>
      <c r="L120" s="194"/>
      <c r="M120" s="194"/>
      <c r="N120" s="194"/>
      <c r="O120" s="194"/>
      <c r="P120" s="194"/>
      <c r="Q120" s="194"/>
      <c r="R120" s="194"/>
      <c r="S120" s="194"/>
      <c r="T120" s="194"/>
      <c r="U120" s="194"/>
      <c r="V120" s="194"/>
      <c r="W120" s="194"/>
      <c r="X120" s="194"/>
      <c r="Y120" s="194"/>
      <c r="Z120" s="194"/>
      <c r="AA120" s="194"/>
      <c r="AB120" s="194"/>
      <c r="AC120" s="194"/>
      <c r="AD120" s="194"/>
      <c r="AE120" s="194"/>
      <c r="AF120" s="194"/>
      <c r="AG120" s="194"/>
      <c r="AH120" s="194"/>
      <c r="AI120" s="194"/>
      <c r="AJ120" s="194"/>
      <c r="AK120" s="194"/>
      <c r="AL120" s="194"/>
      <c r="AM120" s="194"/>
    </row>
    <row r="121" spans="4:39"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4"/>
      <c r="P121" s="194"/>
      <c r="Q121" s="194"/>
      <c r="R121" s="194"/>
      <c r="S121" s="194"/>
      <c r="T121" s="194"/>
      <c r="U121" s="194"/>
      <c r="V121" s="194"/>
      <c r="W121" s="194"/>
      <c r="X121" s="194"/>
      <c r="Y121" s="194"/>
      <c r="Z121" s="194"/>
      <c r="AA121" s="194"/>
      <c r="AB121" s="194"/>
      <c r="AC121" s="194"/>
      <c r="AD121" s="194"/>
      <c r="AE121" s="194"/>
      <c r="AF121" s="194"/>
      <c r="AG121" s="194"/>
      <c r="AH121" s="194"/>
      <c r="AI121" s="194"/>
      <c r="AJ121" s="194"/>
      <c r="AK121" s="194"/>
      <c r="AL121" s="194"/>
      <c r="AM121" s="194"/>
    </row>
    <row r="122" spans="4:39">
      <c r="D122" s="194"/>
      <c r="E122" s="194"/>
      <c r="F122" s="194"/>
      <c r="G122" s="194"/>
      <c r="H122" s="194"/>
      <c r="I122" s="194"/>
      <c r="J122" s="194"/>
      <c r="K122" s="194"/>
      <c r="L122" s="194"/>
      <c r="M122" s="194"/>
      <c r="N122" s="194"/>
      <c r="O122" s="194"/>
      <c r="P122" s="194"/>
      <c r="Q122" s="194"/>
      <c r="R122" s="194"/>
      <c r="S122" s="194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94"/>
      <c r="AM122" s="194"/>
    </row>
    <row r="123" spans="4:39">
      <c r="D123" s="194"/>
      <c r="E123" s="194"/>
      <c r="F123" s="194"/>
      <c r="G123" s="194"/>
      <c r="H123" s="194"/>
      <c r="I123" s="194"/>
      <c r="J123" s="194"/>
      <c r="K123" s="194"/>
      <c r="L123" s="194"/>
      <c r="M123" s="194"/>
      <c r="N123" s="194"/>
      <c r="O123" s="194"/>
      <c r="P123" s="194"/>
      <c r="Q123" s="194"/>
      <c r="R123" s="194"/>
      <c r="S123" s="194"/>
      <c r="T123" s="194"/>
      <c r="U123" s="194"/>
      <c r="V123" s="194"/>
      <c r="W123" s="194"/>
      <c r="X123" s="194"/>
      <c r="Y123" s="194"/>
      <c r="Z123" s="194"/>
      <c r="AA123" s="194"/>
      <c r="AB123" s="194"/>
      <c r="AC123" s="194"/>
      <c r="AD123" s="194"/>
      <c r="AE123" s="194"/>
      <c r="AF123" s="194"/>
      <c r="AG123" s="194"/>
      <c r="AH123" s="194"/>
      <c r="AI123" s="194"/>
      <c r="AJ123" s="194"/>
      <c r="AK123" s="194"/>
      <c r="AL123" s="194"/>
      <c r="AM123" s="194"/>
    </row>
    <row r="124" spans="4:39">
      <c r="D124" s="194"/>
      <c r="E124" s="194"/>
      <c r="F124" s="194"/>
      <c r="G124" s="194"/>
      <c r="H124" s="194"/>
      <c r="I124" s="194"/>
      <c r="J124" s="194"/>
      <c r="K124" s="194"/>
      <c r="L124" s="194"/>
      <c r="M124" s="194"/>
      <c r="N124" s="194"/>
      <c r="O124" s="194"/>
      <c r="P124" s="194"/>
      <c r="Q124" s="194"/>
      <c r="R124" s="194"/>
      <c r="S124" s="194"/>
      <c r="T124" s="194"/>
      <c r="U124" s="194"/>
      <c r="V124" s="194"/>
      <c r="W124" s="194"/>
      <c r="X124" s="194"/>
      <c r="Y124" s="194"/>
      <c r="Z124" s="194"/>
      <c r="AA124" s="194"/>
      <c r="AB124" s="194"/>
      <c r="AC124" s="194"/>
      <c r="AD124" s="194"/>
      <c r="AE124" s="194"/>
      <c r="AF124" s="194"/>
      <c r="AG124" s="194"/>
      <c r="AH124" s="194"/>
      <c r="AI124" s="194"/>
      <c r="AJ124" s="194"/>
      <c r="AK124" s="194"/>
      <c r="AL124" s="194"/>
      <c r="AM124" s="194"/>
    </row>
    <row r="125" spans="4:39">
      <c r="D125" s="194"/>
      <c r="E125" s="194"/>
      <c r="F125" s="194"/>
      <c r="G125" s="194"/>
      <c r="H125" s="194"/>
      <c r="I125" s="194"/>
      <c r="J125" s="194"/>
      <c r="K125" s="194"/>
      <c r="L125" s="194"/>
      <c r="M125" s="194"/>
      <c r="N125" s="194"/>
      <c r="O125" s="194"/>
      <c r="P125" s="194"/>
      <c r="Q125" s="194"/>
      <c r="R125" s="194"/>
      <c r="S125" s="194"/>
      <c r="T125" s="194"/>
      <c r="U125" s="194"/>
      <c r="V125" s="194"/>
      <c r="W125" s="194"/>
      <c r="X125" s="194"/>
      <c r="Y125" s="194"/>
      <c r="Z125" s="194"/>
      <c r="AA125" s="194"/>
      <c r="AB125" s="194"/>
      <c r="AC125" s="194"/>
      <c r="AD125" s="194"/>
      <c r="AE125" s="194"/>
      <c r="AF125" s="194"/>
      <c r="AG125" s="194"/>
      <c r="AH125" s="194"/>
      <c r="AI125" s="194"/>
      <c r="AJ125" s="194"/>
      <c r="AK125" s="194"/>
      <c r="AL125" s="194"/>
      <c r="AM125" s="194"/>
    </row>
    <row r="126" spans="4:39">
      <c r="D126" s="194"/>
      <c r="E126" s="194"/>
      <c r="F126" s="194"/>
      <c r="G126" s="194"/>
      <c r="H126" s="194"/>
      <c r="I126" s="194"/>
      <c r="J126" s="194"/>
      <c r="K126" s="194"/>
      <c r="L126" s="194"/>
      <c r="M126" s="194"/>
      <c r="N126" s="194"/>
      <c r="O126" s="194"/>
      <c r="P126" s="194"/>
      <c r="Q126" s="194"/>
      <c r="R126" s="194"/>
      <c r="S126" s="194"/>
      <c r="T126" s="194"/>
      <c r="U126" s="194"/>
      <c r="V126" s="194"/>
      <c r="W126" s="194"/>
      <c r="X126" s="194"/>
      <c r="Y126" s="194"/>
      <c r="Z126" s="194"/>
      <c r="AA126" s="194"/>
      <c r="AB126" s="194"/>
      <c r="AC126" s="194"/>
      <c r="AD126" s="194"/>
      <c r="AE126" s="194"/>
      <c r="AF126" s="194"/>
      <c r="AG126" s="194"/>
      <c r="AH126" s="194"/>
      <c r="AI126" s="194"/>
      <c r="AJ126" s="194"/>
      <c r="AK126" s="194"/>
      <c r="AL126" s="194"/>
      <c r="AM126" s="194"/>
    </row>
    <row r="127" spans="4:39">
      <c r="D127" s="194"/>
      <c r="E127" s="194"/>
      <c r="F127" s="194"/>
      <c r="G127" s="194"/>
      <c r="H127" s="194"/>
      <c r="I127" s="194"/>
      <c r="J127" s="194"/>
      <c r="K127" s="194"/>
      <c r="L127" s="194"/>
      <c r="M127" s="194"/>
      <c r="N127" s="194"/>
      <c r="O127" s="194"/>
      <c r="P127" s="194"/>
      <c r="Q127" s="194"/>
      <c r="R127" s="194"/>
      <c r="S127" s="194"/>
      <c r="T127" s="194"/>
      <c r="U127" s="194"/>
      <c r="V127" s="194"/>
      <c r="W127" s="194"/>
      <c r="X127" s="194"/>
      <c r="Y127" s="194"/>
      <c r="Z127" s="194"/>
      <c r="AA127" s="194"/>
      <c r="AB127" s="194"/>
      <c r="AC127" s="194"/>
      <c r="AD127" s="194"/>
      <c r="AE127" s="194"/>
      <c r="AF127" s="194"/>
      <c r="AG127" s="194"/>
      <c r="AH127" s="194"/>
      <c r="AI127" s="194"/>
      <c r="AJ127" s="194"/>
      <c r="AK127" s="194"/>
      <c r="AL127" s="194"/>
      <c r="AM127" s="194"/>
    </row>
    <row r="128" spans="4:39">
      <c r="D128" s="194"/>
      <c r="E128" s="194"/>
      <c r="F128" s="194"/>
      <c r="G128" s="194"/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  <c r="AE128" s="194"/>
      <c r="AF128" s="194"/>
      <c r="AG128" s="194"/>
      <c r="AH128" s="194"/>
      <c r="AI128" s="194"/>
      <c r="AJ128" s="194"/>
      <c r="AK128" s="194"/>
      <c r="AL128" s="194"/>
      <c r="AM128" s="194"/>
    </row>
    <row r="129" spans="4:39">
      <c r="D129" s="194"/>
      <c r="E129" s="194"/>
      <c r="F129" s="194"/>
      <c r="G129" s="194"/>
      <c r="H129" s="194"/>
      <c r="I129" s="194"/>
      <c r="J129" s="194"/>
      <c r="K129" s="194"/>
      <c r="L129" s="194"/>
      <c r="M129" s="194"/>
      <c r="N129" s="194"/>
      <c r="O129" s="194"/>
      <c r="P129" s="194"/>
      <c r="Q129" s="194"/>
      <c r="R129" s="194"/>
      <c r="S129" s="194"/>
      <c r="T129" s="194"/>
      <c r="U129" s="194"/>
      <c r="V129" s="194"/>
      <c r="W129" s="194"/>
      <c r="X129" s="194"/>
      <c r="Y129" s="194"/>
      <c r="Z129" s="194"/>
      <c r="AA129" s="194"/>
      <c r="AB129" s="194"/>
      <c r="AC129" s="194"/>
      <c r="AD129" s="194"/>
      <c r="AE129" s="194"/>
      <c r="AF129" s="194"/>
      <c r="AG129" s="194"/>
      <c r="AH129" s="194"/>
      <c r="AI129" s="194"/>
      <c r="AJ129" s="194"/>
      <c r="AK129" s="194"/>
      <c r="AL129" s="194"/>
      <c r="AM129" s="194"/>
    </row>
    <row r="130" spans="4:39">
      <c r="D130" s="194"/>
      <c r="E130" s="194"/>
      <c r="F130" s="194"/>
      <c r="G130" s="194"/>
      <c r="H130" s="194"/>
      <c r="I130" s="194"/>
      <c r="J130" s="194"/>
      <c r="K130" s="194"/>
      <c r="L130" s="194"/>
      <c r="M130" s="194"/>
      <c r="N130" s="194"/>
      <c r="O130" s="194"/>
      <c r="P130" s="194"/>
      <c r="Q130" s="194"/>
      <c r="R130" s="194"/>
      <c r="S130" s="194"/>
      <c r="T130" s="194"/>
      <c r="U130" s="194"/>
      <c r="V130" s="194"/>
      <c r="W130" s="194"/>
      <c r="X130" s="194"/>
      <c r="Y130" s="194"/>
      <c r="Z130" s="194"/>
      <c r="AA130" s="194"/>
      <c r="AB130" s="194"/>
      <c r="AC130" s="194"/>
      <c r="AD130" s="194"/>
      <c r="AE130" s="194"/>
      <c r="AF130" s="194"/>
      <c r="AG130" s="194"/>
      <c r="AH130" s="194"/>
      <c r="AI130" s="194"/>
      <c r="AJ130" s="194"/>
      <c r="AK130" s="194"/>
      <c r="AL130" s="194"/>
      <c r="AM130" s="194"/>
    </row>
    <row r="131" spans="4:39">
      <c r="D131" s="194"/>
      <c r="E131" s="194"/>
      <c r="F131" s="194"/>
      <c r="G131" s="194"/>
      <c r="H131" s="194"/>
      <c r="I131" s="194"/>
      <c r="J131" s="194"/>
      <c r="K131" s="194"/>
      <c r="L131" s="194"/>
      <c r="M131" s="194"/>
      <c r="N131" s="194"/>
      <c r="O131" s="194"/>
      <c r="P131" s="194"/>
      <c r="Q131" s="194"/>
      <c r="R131" s="194"/>
      <c r="S131" s="194"/>
      <c r="T131" s="194"/>
      <c r="U131" s="194"/>
      <c r="V131" s="194"/>
      <c r="W131" s="194"/>
      <c r="X131" s="194"/>
      <c r="Y131" s="194"/>
      <c r="Z131" s="194"/>
      <c r="AA131" s="194"/>
      <c r="AB131" s="194"/>
      <c r="AC131" s="194"/>
      <c r="AD131" s="194"/>
      <c r="AE131" s="194"/>
      <c r="AF131" s="194"/>
      <c r="AG131" s="194"/>
      <c r="AH131" s="194"/>
      <c r="AI131" s="194"/>
      <c r="AJ131" s="194"/>
      <c r="AK131" s="194"/>
      <c r="AL131" s="194"/>
      <c r="AM131" s="194"/>
    </row>
    <row r="132" spans="4:39">
      <c r="D132" s="194"/>
      <c r="E132" s="194"/>
      <c r="F132" s="194"/>
      <c r="G132" s="194"/>
      <c r="H132" s="194"/>
      <c r="I132" s="194"/>
      <c r="J132" s="194"/>
      <c r="K132" s="194"/>
      <c r="L132" s="194"/>
      <c r="M132" s="194"/>
      <c r="N132" s="194"/>
      <c r="O132" s="194"/>
      <c r="P132" s="194"/>
      <c r="Q132" s="194"/>
      <c r="R132" s="194"/>
      <c r="S132" s="194"/>
      <c r="T132" s="194"/>
      <c r="U132" s="194"/>
      <c r="V132" s="194"/>
      <c r="W132" s="194"/>
      <c r="X132" s="194"/>
      <c r="Y132" s="194"/>
      <c r="Z132" s="194"/>
      <c r="AA132" s="194"/>
      <c r="AB132" s="194"/>
      <c r="AC132" s="194"/>
      <c r="AD132" s="194"/>
      <c r="AE132" s="194"/>
      <c r="AF132" s="194"/>
      <c r="AG132" s="194"/>
      <c r="AH132" s="194"/>
      <c r="AI132" s="194"/>
      <c r="AJ132" s="194"/>
      <c r="AK132" s="194"/>
      <c r="AL132" s="194"/>
      <c r="AM132" s="194"/>
    </row>
    <row r="133" spans="4:39"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4"/>
      <c r="P133" s="194"/>
      <c r="Q133" s="194"/>
      <c r="R133" s="194"/>
      <c r="S133" s="194"/>
      <c r="T133" s="194"/>
      <c r="U133" s="194"/>
      <c r="V133" s="194"/>
      <c r="W133" s="194"/>
      <c r="X133" s="194"/>
      <c r="Y133" s="194"/>
      <c r="Z133" s="194"/>
      <c r="AA133" s="194"/>
      <c r="AB133" s="194"/>
      <c r="AC133" s="194"/>
      <c r="AD133" s="194"/>
      <c r="AE133" s="194"/>
      <c r="AF133" s="194"/>
      <c r="AG133" s="194"/>
      <c r="AH133" s="194"/>
      <c r="AI133" s="194"/>
      <c r="AJ133" s="194"/>
      <c r="AK133" s="194"/>
      <c r="AL133" s="194"/>
      <c r="AM133" s="194"/>
    </row>
    <row r="134" spans="4:39">
      <c r="D134" s="194"/>
      <c r="E134" s="194"/>
      <c r="F134" s="194"/>
      <c r="G134" s="194"/>
      <c r="H134" s="194"/>
      <c r="I134" s="194"/>
      <c r="J134" s="194"/>
      <c r="K134" s="194"/>
      <c r="L134" s="194"/>
      <c r="M134" s="194"/>
      <c r="N134" s="194"/>
      <c r="O134" s="194"/>
      <c r="P134" s="194"/>
      <c r="Q134" s="194"/>
      <c r="R134" s="194"/>
      <c r="S134" s="194"/>
      <c r="T134" s="194"/>
      <c r="U134" s="194"/>
      <c r="V134" s="194"/>
      <c r="W134" s="194"/>
      <c r="X134" s="194"/>
      <c r="Y134" s="194"/>
      <c r="Z134" s="194"/>
      <c r="AA134" s="194"/>
      <c r="AB134" s="194"/>
      <c r="AC134" s="194"/>
      <c r="AD134" s="194"/>
      <c r="AE134" s="194"/>
      <c r="AF134" s="194"/>
      <c r="AG134" s="194"/>
      <c r="AH134" s="194"/>
      <c r="AI134" s="194"/>
      <c r="AJ134" s="194"/>
      <c r="AK134" s="194"/>
      <c r="AL134" s="194"/>
      <c r="AM134" s="194"/>
    </row>
    <row r="135" spans="4:39">
      <c r="D135" s="194"/>
      <c r="E135" s="194"/>
      <c r="F135" s="194"/>
      <c r="G135" s="194"/>
      <c r="H135" s="194"/>
      <c r="I135" s="194"/>
      <c r="J135" s="194"/>
      <c r="K135" s="194"/>
      <c r="L135" s="194"/>
      <c r="M135" s="194"/>
      <c r="N135" s="194"/>
      <c r="O135" s="194"/>
      <c r="P135" s="194"/>
      <c r="Q135" s="194"/>
      <c r="R135" s="194"/>
      <c r="S135" s="194"/>
      <c r="T135" s="194"/>
      <c r="U135" s="194"/>
      <c r="V135" s="194"/>
      <c r="W135" s="194"/>
      <c r="X135" s="194"/>
      <c r="Y135" s="194"/>
      <c r="Z135" s="194"/>
      <c r="AA135" s="194"/>
      <c r="AB135" s="194"/>
      <c r="AC135" s="194"/>
      <c r="AD135" s="194"/>
      <c r="AE135" s="194"/>
      <c r="AF135" s="194"/>
      <c r="AG135" s="194"/>
      <c r="AH135" s="194"/>
      <c r="AI135" s="194"/>
      <c r="AJ135" s="194"/>
      <c r="AK135" s="194"/>
      <c r="AL135" s="194"/>
      <c r="AM135" s="194"/>
    </row>
    <row r="136" spans="4:39">
      <c r="D136" s="194"/>
      <c r="E136" s="194"/>
      <c r="F136" s="194"/>
      <c r="G136" s="194"/>
      <c r="H136" s="194"/>
      <c r="I136" s="194"/>
      <c r="J136" s="194"/>
      <c r="K136" s="194"/>
      <c r="L136" s="194"/>
      <c r="M136" s="194"/>
      <c r="N136" s="194"/>
      <c r="O136" s="194"/>
      <c r="P136" s="194"/>
      <c r="Q136" s="194"/>
      <c r="R136" s="194"/>
      <c r="S136" s="194"/>
      <c r="T136" s="194"/>
      <c r="U136" s="194"/>
      <c r="V136" s="194"/>
      <c r="W136" s="194"/>
      <c r="X136" s="194"/>
      <c r="Y136" s="194"/>
      <c r="Z136" s="194"/>
      <c r="AA136" s="194"/>
      <c r="AB136" s="194"/>
      <c r="AC136" s="194"/>
      <c r="AD136" s="194"/>
      <c r="AE136" s="194"/>
      <c r="AF136" s="194"/>
      <c r="AG136" s="194"/>
      <c r="AH136" s="194"/>
      <c r="AI136" s="194"/>
      <c r="AJ136" s="194"/>
      <c r="AK136" s="194"/>
      <c r="AL136" s="194"/>
      <c r="AM136" s="194"/>
    </row>
    <row r="137" spans="4:39">
      <c r="D137" s="194"/>
      <c r="E137" s="194"/>
      <c r="F137" s="194"/>
      <c r="G137" s="194"/>
      <c r="H137" s="194"/>
      <c r="I137" s="194"/>
      <c r="J137" s="194"/>
      <c r="K137" s="194"/>
      <c r="L137" s="194"/>
      <c r="M137" s="194"/>
      <c r="N137" s="194"/>
      <c r="O137" s="194"/>
      <c r="P137" s="194"/>
      <c r="Q137" s="194"/>
      <c r="R137" s="194"/>
      <c r="S137" s="194"/>
      <c r="T137" s="194"/>
      <c r="U137" s="194"/>
      <c r="V137" s="194"/>
      <c r="W137" s="194"/>
      <c r="X137" s="194"/>
      <c r="Y137" s="194"/>
      <c r="Z137" s="194"/>
      <c r="AA137" s="194"/>
      <c r="AB137" s="194"/>
    </row>
    <row r="138" spans="4:39">
      <c r="D138" s="194"/>
      <c r="E138" s="194"/>
      <c r="F138" s="194"/>
      <c r="G138" s="194"/>
      <c r="H138" s="194"/>
      <c r="I138" s="194"/>
      <c r="J138" s="194"/>
      <c r="K138" s="194"/>
      <c r="L138" s="194"/>
      <c r="M138" s="194"/>
      <c r="N138" s="194"/>
      <c r="O138" s="194"/>
      <c r="P138" s="194"/>
      <c r="Q138" s="194"/>
      <c r="R138" s="194"/>
      <c r="S138" s="194"/>
      <c r="T138" s="194"/>
      <c r="U138" s="194"/>
      <c r="V138" s="194"/>
      <c r="W138" s="194"/>
      <c r="X138" s="194"/>
      <c r="Y138" s="194"/>
      <c r="Z138" s="194"/>
      <c r="AA138" s="194"/>
      <c r="AB138" s="194"/>
    </row>
    <row r="139" spans="4:39">
      <c r="D139" s="194"/>
      <c r="E139" s="194"/>
      <c r="F139" s="194"/>
      <c r="G139" s="194"/>
      <c r="H139" s="194"/>
      <c r="I139" s="194"/>
      <c r="J139" s="194"/>
      <c r="K139" s="194"/>
      <c r="L139" s="194"/>
      <c r="M139" s="194"/>
      <c r="N139" s="194"/>
      <c r="O139" s="194"/>
      <c r="P139" s="194"/>
      <c r="Q139" s="194"/>
      <c r="R139" s="194"/>
      <c r="S139" s="194"/>
      <c r="T139" s="194"/>
      <c r="U139" s="194"/>
      <c r="V139" s="194"/>
      <c r="W139" s="194"/>
      <c r="X139" s="194"/>
      <c r="Y139" s="194"/>
      <c r="Z139" s="194"/>
      <c r="AA139" s="194"/>
      <c r="AB139" s="194"/>
    </row>
    <row r="140" spans="4:39">
      <c r="D140" s="194"/>
      <c r="E140" s="194"/>
      <c r="F140" s="194"/>
      <c r="G140" s="194"/>
      <c r="H140" s="194"/>
      <c r="I140" s="194"/>
      <c r="J140" s="194"/>
      <c r="K140" s="194"/>
      <c r="L140" s="194"/>
      <c r="M140" s="194"/>
      <c r="N140" s="194"/>
      <c r="O140" s="194"/>
      <c r="P140" s="194"/>
      <c r="Q140" s="194"/>
      <c r="R140" s="194"/>
      <c r="S140" s="194"/>
      <c r="T140" s="194"/>
      <c r="U140" s="194"/>
      <c r="V140" s="194"/>
      <c r="W140" s="194"/>
      <c r="X140" s="194"/>
      <c r="Y140" s="194"/>
      <c r="Z140" s="194"/>
      <c r="AA140" s="194"/>
      <c r="AB140" s="194"/>
    </row>
    <row r="141" spans="4:39">
      <c r="D141" s="194"/>
      <c r="E141" s="194"/>
      <c r="F141" s="194"/>
      <c r="G141" s="194"/>
      <c r="H141" s="194"/>
      <c r="I141" s="194"/>
      <c r="J141" s="194"/>
      <c r="K141" s="194"/>
      <c r="L141" s="194"/>
      <c r="M141" s="194"/>
      <c r="N141" s="194"/>
      <c r="O141" s="194"/>
      <c r="P141" s="194"/>
      <c r="Q141" s="194"/>
      <c r="R141" s="194"/>
      <c r="S141" s="194"/>
      <c r="T141" s="194"/>
      <c r="U141" s="194"/>
      <c r="V141" s="194"/>
      <c r="W141" s="194"/>
      <c r="X141" s="194"/>
      <c r="Y141" s="194"/>
      <c r="Z141" s="194"/>
      <c r="AA141" s="194"/>
      <c r="AB141" s="194"/>
    </row>
    <row r="142" spans="4:39">
      <c r="D142" s="194"/>
      <c r="E142" s="194"/>
      <c r="F142" s="194"/>
      <c r="G142" s="194"/>
      <c r="H142" s="194"/>
      <c r="I142" s="194"/>
      <c r="J142" s="194"/>
      <c r="K142" s="194"/>
      <c r="L142" s="194"/>
      <c r="M142" s="194"/>
      <c r="N142" s="194"/>
      <c r="O142" s="194"/>
      <c r="P142" s="194"/>
      <c r="Q142" s="194"/>
      <c r="R142" s="194"/>
      <c r="S142" s="194"/>
      <c r="T142" s="194"/>
      <c r="U142" s="194"/>
      <c r="V142" s="194"/>
      <c r="W142" s="194"/>
      <c r="X142" s="194"/>
      <c r="Y142" s="194"/>
      <c r="Z142" s="194"/>
      <c r="AA142" s="194"/>
      <c r="AB142" s="194"/>
    </row>
    <row r="143" spans="4:39">
      <c r="D143" s="194"/>
      <c r="E143" s="194"/>
      <c r="F143" s="194"/>
      <c r="G143" s="194"/>
      <c r="H143" s="194"/>
      <c r="I143" s="194"/>
      <c r="J143" s="194"/>
      <c r="K143" s="194"/>
      <c r="L143" s="194"/>
      <c r="M143" s="194"/>
      <c r="N143" s="194"/>
      <c r="O143" s="194"/>
      <c r="P143" s="194"/>
      <c r="Q143" s="194"/>
      <c r="R143" s="194"/>
      <c r="S143" s="194"/>
      <c r="T143" s="194"/>
      <c r="U143" s="194"/>
      <c r="V143" s="194"/>
      <c r="W143" s="194"/>
      <c r="X143" s="194"/>
      <c r="Y143" s="194"/>
      <c r="Z143" s="194"/>
      <c r="AA143" s="194"/>
      <c r="AB143" s="194"/>
    </row>
    <row r="144" spans="4:39">
      <c r="D144" s="194"/>
      <c r="E144" s="194"/>
      <c r="F144" s="194"/>
      <c r="G144" s="194"/>
      <c r="H144" s="194"/>
      <c r="I144" s="194"/>
      <c r="J144" s="194"/>
      <c r="K144" s="194"/>
      <c r="L144" s="194"/>
      <c r="M144" s="194"/>
      <c r="N144" s="194"/>
      <c r="O144" s="194"/>
      <c r="P144" s="194"/>
      <c r="Q144" s="194"/>
      <c r="R144" s="194"/>
      <c r="S144" s="194"/>
      <c r="T144" s="194"/>
      <c r="U144" s="194"/>
      <c r="V144" s="194"/>
      <c r="W144" s="194"/>
      <c r="X144" s="194"/>
      <c r="Y144" s="194"/>
      <c r="Z144" s="194"/>
      <c r="AA144" s="194"/>
      <c r="AB144" s="194"/>
    </row>
    <row r="145" spans="4:28">
      <c r="D145" s="194"/>
      <c r="E145" s="194"/>
      <c r="F145" s="194"/>
      <c r="G145" s="194"/>
      <c r="H145" s="194"/>
      <c r="I145" s="194"/>
      <c r="J145" s="194"/>
      <c r="K145" s="194"/>
      <c r="L145" s="194"/>
      <c r="M145" s="194"/>
      <c r="N145" s="194"/>
      <c r="O145" s="194"/>
      <c r="P145" s="194"/>
      <c r="Q145" s="194"/>
      <c r="R145" s="194"/>
      <c r="S145" s="194"/>
      <c r="T145" s="194"/>
      <c r="U145" s="194"/>
      <c r="V145" s="194"/>
      <c r="W145" s="194"/>
      <c r="X145" s="194"/>
      <c r="Y145" s="194"/>
      <c r="Z145" s="194"/>
      <c r="AA145" s="194"/>
      <c r="AB145" s="194"/>
    </row>
    <row r="146" spans="4:28">
      <c r="D146" s="194"/>
      <c r="E146" s="194"/>
      <c r="F146" s="194"/>
      <c r="G146" s="194"/>
      <c r="H146" s="194"/>
      <c r="I146" s="194"/>
      <c r="J146" s="194"/>
      <c r="K146" s="194"/>
      <c r="L146" s="194"/>
      <c r="M146" s="194"/>
      <c r="N146" s="194"/>
      <c r="O146" s="194"/>
      <c r="P146" s="194"/>
      <c r="Q146" s="194"/>
      <c r="R146" s="194"/>
      <c r="S146" s="194"/>
      <c r="T146" s="194"/>
      <c r="U146" s="194"/>
      <c r="V146" s="194"/>
      <c r="W146" s="194"/>
      <c r="X146" s="194"/>
      <c r="Y146" s="194"/>
      <c r="Z146" s="194"/>
      <c r="AA146" s="194"/>
      <c r="AB146" s="194"/>
    </row>
    <row r="147" spans="4:28">
      <c r="D147" s="194"/>
      <c r="E147" s="194"/>
      <c r="F147" s="194"/>
      <c r="G147" s="194"/>
      <c r="H147" s="194"/>
      <c r="I147" s="194"/>
      <c r="J147" s="194"/>
      <c r="K147" s="194"/>
      <c r="L147" s="194"/>
      <c r="M147" s="194"/>
      <c r="N147" s="194"/>
      <c r="O147" s="194"/>
      <c r="P147" s="194"/>
      <c r="Q147" s="194"/>
      <c r="R147" s="194"/>
      <c r="S147" s="194"/>
      <c r="T147" s="194"/>
      <c r="U147" s="194"/>
      <c r="V147" s="194"/>
      <c r="W147" s="194"/>
      <c r="X147" s="194"/>
      <c r="Y147" s="194"/>
      <c r="Z147" s="194"/>
      <c r="AA147" s="194"/>
      <c r="AB147" s="194"/>
    </row>
    <row r="148" spans="4:28"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4"/>
      <c r="P148" s="194"/>
      <c r="Q148" s="194"/>
      <c r="R148" s="194"/>
      <c r="S148" s="194"/>
      <c r="T148" s="194"/>
      <c r="U148" s="194"/>
      <c r="V148" s="194"/>
      <c r="W148" s="194"/>
      <c r="X148" s="194"/>
      <c r="Y148" s="194"/>
      <c r="Z148" s="194"/>
      <c r="AA148" s="194"/>
      <c r="AB148" s="194"/>
    </row>
    <row r="149" spans="4:28">
      <c r="D149" s="194"/>
      <c r="E149" s="194"/>
      <c r="F149" s="194"/>
      <c r="G149" s="194"/>
      <c r="H149" s="194"/>
      <c r="I149" s="194"/>
      <c r="J149" s="194"/>
      <c r="K149" s="194"/>
      <c r="L149" s="194"/>
      <c r="M149" s="194"/>
      <c r="N149" s="194"/>
      <c r="O149" s="194"/>
      <c r="P149" s="194"/>
      <c r="Q149" s="194"/>
      <c r="R149" s="194"/>
      <c r="S149" s="194"/>
      <c r="T149" s="194"/>
      <c r="U149" s="194"/>
      <c r="V149" s="194"/>
      <c r="W149" s="194"/>
      <c r="X149" s="194"/>
      <c r="Y149" s="194"/>
      <c r="Z149" s="194"/>
      <c r="AA149" s="194"/>
      <c r="AB149" s="194"/>
    </row>
    <row r="150" spans="4:28">
      <c r="D150" s="194"/>
      <c r="E150" s="194"/>
      <c r="F150" s="194"/>
      <c r="G150" s="194"/>
      <c r="H150" s="194"/>
      <c r="I150" s="194"/>
      <c r="J150" s="194"/>
      <c r="K150" s="194"/>
      <c r="L150" s="194"/>
      <c r="M150" s="194"/>
      <c r="N150" s="194"/>
      <c r="O150" s="194"/>
      <c r="P150" s="194"/>
      <c r="Q150" s="194"/>
      <c r="R150" s="194"/>
      <c r="S150" s="194"/>
      <c r="T150" s="194"/>
      <c r="U150" s="194"/>
      <c r="V150" s="194"/>
      <c r="W150" s="194"/>
      <c r="X150" s="194"/>
      <c r="Y150" s="194"/>
      <c r="Z150" s="194"/>
      <c r="AA150" s="194"/>
      <c r="AB150" s="194"/>
    </row>
    <row r="151" spans="4:28">
      <c r="D151" s="194"/>
      <c r="E151" s="194"/>
      <c r="F151" s="194"/>
      <c r="G151" s="194"/>
      <c r="H151" s="194"/>
      <c r="I151" s="194"/>
      <c r="J151" s="194"/>
      <c r="K151" s="194"/>
      <c r="L151" s="194"/>
      <c r="M151" s="194"/>
      <c r="N151" s="194"/>
      <c r="O151" s="194"/>
      <c r="P151" s="194"/>
      <c r="Q151" s="194"/>
      <c r="R151" s="194"/>
      <c r="S151" s="194"/>
      <c r="T151" s="194"/>
      <c r="U151" s="194"/>
      <c r="V151" s="194"/>
      <c r="W151" s="194"/>
      <c r="X151" s="194"/>
      <c r="Y151" s="194"/>
      <c r="Z151" s="194"/>
      <c r="AA151" s="194"/>
      <c r="AB151" s="194"/>
    </row>
    <row r="152" spans="4:28">
      <c r="D152" s="194"/>
      <c r="E152" s="194"/>
      <c r="F152" s="194"/>
      <c r="G152" s="194"/>
      <c r="H152" s="194"/>
      <c r="I152" s="194"/>
      <c r="J152" s="194"/>
      <c r="K152" s="194"/>
      <c r="L152" s="194"/>
      <c r="M152" s="194"/>
      <c r="N152" s="194"/>
      <c r="O152" s="194"/>
      <c r="P152" s="194"/>
      <c r="Q152" s="194"/>
      <c r="R152" s="194"/>
      <c r="S152" s="194"/>
      <c r="T152" s="194"/>
      <c r="U152" s="194"/>
      <c r="V152" s="194"/>
      <c r="W152" s="194"/>
      <c r="X152" s="194"/>
      <c r="Y152" s="194"/>
      <c r="Z152" s="194"/>
      <c r="AA152" s="194"/>
      <c r="AB152" s="194"/>
    </row>
    <row r="153" spans="4:28">
      <c r="D153" s="194"/>
      <c r="E153" s="194"/>
      <c r="F153" s="194"/>
      <c r="G153" s="194"/>
      <c r="H153" s="194"/>
      <c r="I153" s="194"/>
      <c r="J153" s="194"/>
      <c r="K153" s="194"/>
      <c r="L153" s="194"/>
      <c r="M153" s="194"/>
      <c r="N153" s="194"/>
      <c r="O153" s="194"/>
      <c r="P153" s="194"/>
      <c r="Q153" s="194"/>
      <c r="R153" s="194"/>
      <c r="S153" s="194"/>
      <c r="T153" s="194"/>
      <c r="U153" s="194"/>
      <c r="V153" s="194"/>
      <c r="W153" s="194"/>
      <c r="X153" s="194"/>
      <c r="Y153" s="194"/>
      <c r="Z153" s="194"/>
      <c r="AA153" s="194"/>
      <c r="AB153" s="194"/>
    </row>
    <row r="154" spans="4:28">
      <c r="D154" s="194"/>
      <c r="E154" s="194"/>
      <c r="F154" s="194"/>
      <c r="G154" s="194"/>
      <c r="H154" s="194"/>
      <c r="I154" s="194"/>
      <c r="J154" s="194"/>
      <c r="K154" s="194"/>
      <c r="L154" s="194"/>
      <c r="M154" s="194"/>
      <c r="N154" s="194"/>
      <c r="O154" s="194"/>
      <c r="P154" s="194"/>
      <c r="Q154" s="194"/>
      <c r="R154" s="194"/>
      <c r="S154" s="194"/>
      <c r="T154" s="194"/>
      <c r="U154" s="194"/>
      <c r="V154" s="194"/>
      <c r="W154" s="194"/>
      <c r="X154" s="194"/>
      <c r="Y154" s="194"/>
      <c r="Z154" s="194"/>
      <c r="AA154" s="194"/>
      <c r="AB154" s="194"/>
    </row>
    <row r="155" spans="4:28">
      <c r="D155" s="194"/>
      <c r="E155" s="194"/>
      <c r="F155" s="194"/>
      <c r="G155" s="194"/>
      <c r="H155" s="194"/>
      <c r="I155" s="194"/>
      <c r="J155" s="194"/>
      <c r="K155" s="194"/>
      <c r="L155" s="194"/>
      <c r="M155" s="194"/>
      <c r="N155" s="194"/>
      <c r="O155" s="194"/>
      <c r="P155" s="194"/>
      <c r="Q155" s="194"/>
      <c r="R155" s="194"/>
      <c r="S155" s="194"/>
      <c r="T155" s="194"/>
      <c r="U155" s="194"/>
      <c r="V155" s="194"/>
      <c r="W155" s="194"/>
      <c r="X155" s="194"/>
      <c r="Y155" s="194"/>
      <c r="Z155" s="194"/>
      <c r="AA155" s="194"/>
      <c r="AB155" s="194"/>
    </row>
    <row r="156" spans="4:28">
      <c r="D156" s="194"/>
      <c r="E156" s="194"/>
      <c r="F156" s="194"/>
      <c r="G156" s="194"/>
      <c r="H156" s="194"/>
      <c r="I156" s="194"/>
      <c r="J156" s="194"/>
      <c r="K156" s="194"/>
      <c r="L156" s="194"/>
      <c r="M156" s="194"/>
      <c r="N156" s="194"/>
      <c r="O156" s="194"/>
      <c r="P156" s="194"/>
      <c r="Q156" s="194"/>
      <c r="R156" s="194"/>
      <c r="S156" s="194"/>
      <c r="T156" s="194"/>
      <c r="U156" s="194"/>
      <c r="V156" s="194"/>
      <c r="W156" s="194"/>
      <c r="X156" s="194"/>
      <c r="Y156" s="194"/>
      <c r="Z156" s="194"/>
      <c r="AA156" s="194"/>
      <c r="AB156" s="194"/>
    </row>
    <row r="157" spans="4:28">
      <c r="D157" s="194"/>
      <c r="E157" s="194"/>
      <c r="F157" s="194"/>
      <c r="G157" s="194"/>
      <c r="H157" s="194"/>
      <c r="I157" s="194"/>
      <c r="J157" s="194"/>
      <c r="K157" s="194"/>
      <c r="L157" s="194"/>
      <c r="M157" s="194"/>
      <c r="N157" s="194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4"/>
      <c r="AA157" s="194"/>
      <c r="AB157" s="194"/>
    </row>
    <row r="158" spans="4:28">
      <c r="D158" s="194"/>
      <c r="E158" s="194"/>
      <c r="F158" s="194"/>
      <c r="G158" s="194"/>
      <c r="H158" s="194"/>
      <c r="I158" s="194"/>
      <c r="J158" s="194"/>
      <c r="K158" s="194"/>
      <c r="L158" s="194"/>
      <c r="M158" s="194"/>
      <c r="N158" s="194"/>
      <c r="O158" s="194"/>
      <c r="P158" s="194"/>
      <c r="Q158" s="194"/>
      <c r="R158" s="194"/>
      <c r="S158" s="194"/>
      <c r="T158" s="194"/>
      <c r="U158" s="194"/>
      <c r="V158" s="194"/>
      <c r="W158" s="194"/>
      <c r="X158" s="194"/>
      <c r="Y158" s="194"/>
      <c r="Z158" s="194"/>
      <c r="AA158" s="194"/>
      <c r="AB158" s="194"/>
    </row>
    <row r="159" spans="4:28">
      <c r="D159" s="194"/>
      <c r="E159" s="194"/>
      <c r="F159" s="194"/>
      <c r="G159" s="194"/>
      <c r="H159" s="194"/>
      <c r="I159" s="194"/>
      <c r="J159" s="194"/>
      <c r="K159" s="194"/>
      <c r="L159" s="194"/>
      <c r="M159" s="194"/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4"/>
      <c r="AA159" s="194"/>
      <c r="AB159" s="194"/>
    </row>
    <row r="160" spans="4:28">
      <c r="D160" s="194"/>
      <c r="E160" s="194"/>
      <c r="F160" s="194"/>
      <c r="G160" s="194"/>
      <c r="H160" s="194"/>
      <c r="I160" s="194"/>
      <c r="J160" s="194"/>
      <c r="K160" s="194"/>
      <c r="L160" s="194"/>
      <c r="M160" s="194"/>
      <c r="N160" s="194"/>
      <c r="O160" s="194"/>
      <c r="P160" s="194"/>
      <c r="Q160" s="194"/>
      <c r="R160" s="194"/>
      <c r="S160" s="194"/>
      <c r="T160" s="194"/>
      <c r="U160" s="194"/>
      <c r="V160" s="194"/>
      <c r="W160" s="194"/>
      <c r="X160" s="194"/>
      <c r="Y160" s="194"/>
      <c r="Z160" s="194"/>
      <c r="AA160" s="194"/>
      <c r="AB160" s="194"/>
    </row>
    <row r="161" spans="4:28">
      <c r="D161" s="194"/>
      <c r="E161" s="194"/>
      <c r="F161" s="194"/>
      <c r="G161" s="194"/>
      <c r="H161" s="194"/>
      <c r="I161" s="194"/>
      <c r="J161" s="194"/>
      <c r="K161" s="194"/>
      <c r="L161" s="194"/>
      <c r="M161" s="194"/>
      <c r="N161" s="194"/>
      <c r="O161" s="194"/>
      <c r="P161" s="194"/>
      <c r="Q161" s="194"/>
      <c r="R161" s="194"/>
      <c r="S161" s="194"/>
      <c r="T161" s="194"/>
      <c r="U161" s="194"/>
      <c r="V161" s="194"/>
      <c r="W161" s="194"/>
      <c r="X161" s="194"/>
      <c r="Y161" s="194"/>
      <c r="Z161" s="194"/>
      <c r="AA161" s="194"/>
      <c r="AB161" s="194"/>
    </row>
    <row r="162" spans="4:28">
      <c r="D162" s="194"/>
      <c r="E162" s="194"/>
      <c r="F162" s="194"/>
      <c r="G162" s="194"/>
      <c r="H162" s="194"/>
      <c r="I162" s="194"/>
      <c r="J162" s="194"/>
      <c r="K162" s="194"/>
      <c r="L162" s="194"/>
      <c r="M162" s="194"/>
      <c r="N162" s="194"/>
      <c r="O162" s="194"/>
      <c r="P162" s="194"/>
      <c r="Q162" s="194"/>
      <c r="R162" s="194"/>
      <c r="S162" s="194"/>
      <c r="T162" s="194"/>
      <c r="U162" s="194"/>
      <c r="V162" s="194"/>
      <c r="W162" s="194"/>
      <c r="X162" s="194"/>
      <c r="Y162" s="194"/>
      <c r="Z162" s="194"/>
      <c r="AA162" s="194"/>
      <c r="AB162" s="194"/>
    </row>
    <row r="163" spans="4:28">
      <c r="D163" s="194"/>
      <c r="E163" s="194"/>
      <c r="F163" s="194"/>
      <c r="G163" s="194"/>
      <c r="H163" s="194"/>
      <c r="I163" s="194"/>
      <c r="J163" s="194"/>
      <c r="K163" s="194"/>
      <c r="L163" s="194"/>
      <c r="M163" s="194"/>
      <c r="N163" s="194"/>
      <c r="O163" s="194"/>
      <c r="P163" s="194"/>
      <c r="Q163" s="194"/>
      <c r="R163" s="194"/>
      <c r="S163" s="194"/>
      <c r="T163" s="194"/>
      <c r="U163" s="194"/>
      <c r="V163" s="194"/>
      <c r="W163" s="194"/>
      <c r="X163" s="194"/>
      <c r="Y163" s="194"/>
      <c r="Z163" s="194"/>
      <c r="AA163" s="194"/>
      <c r="AB163" s="194"/>
    </row>
    <row r="164" spans="4:28">
      <c r="D164" s="194"/>
      <c r="E164" s="194"/>
      <c r="F164" s="194"/>
      <c r="G164" s="194"/>
      <c r="H164" s="194"/>
      <c r="I164" s="194"/>
      <c r="J164" s="194"/>
      <c r="K164" s="194"/>
      <c r="L164" s="194"/>
      <c r="M164" s="194"/>
      <c r="N164" s="194"/>
      <c r="O164" s="194"/>
      <c r="P164" s="194"/>
      <c r="Q164" s="194"/>
      <c r="R164" s="194"/>
      <c r="S164" s="194"/>
      <c r="T164" s="194"/>
      <c r="U164" s="194"/>
      <c r="V164" s="194"/>
      <c r="W164" s="194"/>
      <c r="X164" s="194"/>
      <c r="Y164" s="194"/>
      <c r="Z164" s="194"/>
      <c r="AA164" s="194"/>
      <c r="AB164" s="194"/>
    </row>
    <row r="165" spans="4:28">
      <c r="D165" s="194"/>
      <c r="E165" s="194"/>
      <c r="F165" s="194"/>
      <c r="G165" s="194"/>
      <c r="H165" s="194"/>
      <c r="I165" s="194"/>
      <c r="J165" s="194"/>
      <c r="K165" s="194"/>
      <c r="L165" s="194"/>
      <c r="M165" s="194"/>
      <c r="N165" s="194"/>
      <c r="O165" s="194"/>
      <c r="P165" s="194"/>
      <c r="Q165" s="194"/>
      <c r="R165" s="194"/>
      <c r="S165" s="194"/>
      <c r="T165" s="194"/>
      <c r="U165" s="194"/>
      <c r="V165" s="194"/>
      <c r="W165" s="194"/>
      <c r="X165" s="194"/>
      <c r="Y165" s="194"/>
      <c r="Z165" s="194"/>
      <c r="AA165" s="194"/>
      <c r="AB165" s="194"/>
    </row>
    <row r="166" spans="4:28">
      <c r="D166" s="194"/>
      <c r="E166" s="194"/>
      <c r="F166" s="194"/>
      <c r="G166" s="194"/>
      <c r="H166" s="194"/>
      <c r="I166" s="194"/>
      <c r="J166" s="194"/>
      <c r="K166" s="194"/>
      <c r="L166" s="194"/>
      <c r="M166" s="194"/>
      <c r="N166" s="194"/>
      <c r="O166" s="194"/>
      <c r="P166" s="194"/>
      <c r="Q166" s="194"/>
      <c r="R166" s="194"/>
      <c r="S166" s="194"/>
      <c r="T166" s="194"/>
      <c r="U166" s="194"/>
      <c r="V166" s="194"/>
      <c r="W166" s="194"/>
      <c r="X166" s="194"/>
      <c r="Y166" s="194"/>
      <c r="Z166" s="194"/>
      <c r="AA166" s="194"/>
      <c r="AB166" s="194"/>
    </row>
    <row r="167" spans="4:28">
      <c r="D167" s="194"/>
      <c r="E167" s="194"/>
      <c r="F167" s="194"/>
      <c r="G167" s="194"/>
      <c r="H167" s="194"/>
      <c r="I167" s="194"/>
      <c r="J167" s="194"/>
      <c r="K167" s="194"/>
      <c r="L167" s="194"/>
      <c r="M167" s="194"/>
      <c r="N167" s="194"/>
      <c r="O167" s="194"/>
      <c r="P167" s="194"/>
      <c r="Q167" s="194"/>
      <c r="R167" s="194"/>
      <c r="S167" s="194"/>
      <c r="T167" s="194"/>
      <c r="U167" s="194"/>
      <c r="V167" s="194"/>
      <c r="W167" s="194"/>
      <c r="X167" s="194"/>
      <c r="Y167" s="194"/>
      <c r="Z167" s="194"/>
      <c r="AA167" s="194"/>
      <c r="AB167" s="194"/>
    </row>
    <row r="168" spans="4:28">
      <c r="D168" s="194"/>
      <c r="E168" s="194"/>
      <c r="F168" s="194"/>
      <c r="G168" s="194"/>
      <c r="H168" s="194"/>
      <c r="I168" s="194"/>
      <c r="J168" s="194"/>
      <c r="K168" s="194"/>
      <c r="L168" s="194"/>
      <c r="M168" s="194"/>
      <c r="N168" s="194"/>
      <c r="O168" s="194"/>
      <c r="P168" s="194"/>
      <c r="Q168" s="194"/>
      <c r="R168" s="194"/>
      <c r="S168" s="194"/>
      <c r="T168" s="194"/>
      <c r="U168" s="194"/>
      <c r="V168" s="194"/>
      <c r="W168" s="194"/>
      <c r="X168" s="194"/>
      <c r="Y168" s="194"/>
      <c r="Z168" s="194"/>
      <c r="AA168" s="194"/>
      <c r="AB168" s="194"/>
    </row>
    <row r="169" spans="4:28">
      <c r="D169" s="194"/>
      <c r="E169" s="194"/>
      <c r="F169" s="194"/>
      <c r="G169" s="194"/>
      <c r="H169" s="194"/>
      <c r="I169" s="194"/>
      <c r="J169" s="194"/>
      <c r="K169" s="194"/>
      <c r="L169" s="194"/>
      <c r="M169" s="194"/>
      <c r="N169" s="194"/>
      <c r="O169" s="194"/>
      <c r="P169" s="194"/>
      <c r="Q169" s="194"/>
      <c r="R169" s="194"/>
      <c r="S169" s="194"/>
      <c r="T169" s="194"/>
      <c r="U169" s="194"/>
      <c r="V169" s="194"/>
      <c r="W169" s="194"/>
      <c r="X169" s="194"/>
      <c r="Y169" s="194"/>
      <c r="Z169" s="194"/>
      <c r="AA169" s="194"/>
      <c r="AB169" s="194"/>
    </row>
    <row r="170" spans="4:28">
      <c r="D170" s="194"/>
      <c r="E170" s="194"/>
      <c r="F170" s="194"/>
      <c r="G170" s="194"/>
      <c r="H170" s="194"/>
      <c r="I170" s="194"/>
      <c r="J170" s="194"/>
      <c r="K170" s="194"/>
      <c r="L170" s="194"/>
      <c r="M170" s="194"/>
      <c r="N170" s="194"/>
      <c r="O170" s="194"/>
      <c r="P170" s="194"/>
      <c r="Q170" s="194"/>
      <c r="R170" s="194"/>
      <c r="S170" s="194"/>
      <c r="T170" s="194"/>
      <c r="U170" s="194"/>
      <c r="V170" s="194"/>
      <c r="W170" s="194"/>
      <c r="X170" s="194"/>
      <c r="Y170" s="194"/>
      <c r="Z170" s="194"/>
      <c r="AA170" s="194"/>
      <c r="AB170" s="194"/>
    </row>
    <row r="171" spans="4:28"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4"/>
      <c r="P171" s="194"/>
      <c r="Q171" s="194"/>
      <c r="R171" s="194"/>
      <c r="S171" s="194"/>
      <c r="T171" s="194"/>
      <c r="U171" s="194"/>
      <c r="V171" s="194"/>
      <c r="W171" s="194"/>
      <c r="X171" s="194"/>
      <c r="Y171" s="194"/>
      <c r="Z171" s="194"/>
      <c r="AA171" s="194"/>
      <c r="AB171" s="194"/>
    </row>
    <row r="172" spans="4:28">
      <c r="D172" s="194"/>
      <c r="E172" s="194"/>
      <c r="F172" s="194"/>
      <c r="G172" s="194"/>
      <c r="H172" s="194"/>
      <c r="I172" s="194"/>
      <c r="J172" s="194"/>
      <c r="K172" s="194"/>
      <c r="L172" s="194"/>
      <c r="M172" s="194"/>
      <c r="N172" s="194"/>
      <c r="O172" s="194"/>
      <c r="P172" s="194"/>
      <c r="Q172" s="194"/>
      <c r="R172" s="194"/>
      <c r="S172" s="194"/>
      <c r="T172" s="194"/>
      <c r="U172" s="194"/>
      <c r="V172" s="194"/>
      <c r="W172" s="194"/>
      <c r="X172" s="194"/>
      <c r="Y172" s="194"/>
      <c r="Z172" s="194"/>
      <c r="AA172" s="194"/>
      <c r="AB172" s="194"/>
    </row>
    <row r="173" spans="4:28">
      <c r="D173" s="194"/>
      <c r="E173" s="194"/>
      <c r="F173" s="194"/>
      <c r="G173" s="194"/>
      <c r="H173" s="194"/>
      <c r="I173" s="194"/>
      <c r="J173" s="194"/>
      <c r="K173" s="194"/>
      <c r="L173" s="194"/>
      <c r="M173" s="194"/>
      <c r="N173" s="194"/>
      <c r="O173" s="194"/>
      <c r="P173" s="194"/>
      <c r="Q173" s="194"/>
      <c r="R173" s="194"/>
      <c r="S173" s="194"/>
      <c r="T173" s="194"/>
      <c r="U173" s="194"/>
      <c r="V173" s="194"/>
      <c r="W173" s="194"/>
      <c r="X173" s="194"/>
      <c r="Y173" s="194"/>
      <c r="Z173" s="194"/>
      <c r="AA173" s="194"/>
      <c r="AB173" s="194"/>
    </row>
    <row r="174" spans="4:28">
      <c r="D174" s="194"/>
      <c r="E174" s="194"/>
      <c r="F174" s="194"/>
      <c r="G174" s="194"/>
      <c r="H174" s="194"/>
      <c r="I174" s="194"/>
      <c r="J174" s="194"/>
      <c r="K174" s="194"/>
      <c r="L174" s="194"/>
      <c r="M174" s="194"/>
      <c r="N174" s="194"/>
      <c r="O174" s="194"/>
      <c r="P174" s="194"/>
      <c r="Q174" s="194"/>
      <c r="R174" s="194"/>
      <c r="S174" s="194"/>
      <c r="T174" s="194"/>
      <c r="U174" s="194"/>
      <c r="V174" s="194"/>
      <c r="W174" s="194"/>
      <c r="X174" s="194"/>
      <c r="Y174" s="194"/>
      <c r="Z174" s="194"/>
      <c r="AA174" s="194"/>
      <c r="AB174" s="194"/>
    </row>
    <row r="175" spans="4:28"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4"/>
      <c r="P175" s="194"/>
      <c r="Q175" s="194"/>
      <c r="R175" s="194"/>
      <c r="S175" s="194"/>
      <c r="T175" s="194"/>
      <c r="U175" s="194"/>
      <c r="V175" s="194"/>
      <c r="W175" s="194"/>
      <c r="X175" s="194"/>
      <c r="Y175" s="194"/>
      <c r="Z175" s="194"/>
      <c r="AA175" s="194"/>
      <c r="AB175" s="194"/>
    </row>
    <row r="176" spans="4:28">
      <c r="D176" s="194"/>
      <c r="E176" s="194"/>
      <c r="F176" s="194"/>
      <c r="G176" s="194"/>
      <c r="H176" s="194"/>
      <c r="I176" s="194"/>
      <c r="J176" s="194"/>
      <c r="K176" s="194"/>
      <c r="L176" s="194"/>
      <c r="M176" s="194"/>
      <c r="N176" s="194"/>
      <c r="O176" s="194"/>
      <c r="P176" s="194"/>
      <c r="Q176" s="194"/>
      <c r="R176" s="194"/>
      <c r="S176" s="194"/>
      <c r="T176" s="194"/>
      <c r="U176" s="194"/>
      <c r="V176" s="194"/>
      <c r="W176" s="194"/>
      <c r="X176" s="194"/>
      <c r="Y176" s="194"/>
      <c r="Z176" s="194"/>
      <c r="AA176" s="194"/>
      <c r="AB176" s="194"/>
    </row>
    <row r="177" spans="4:28">
      <c r="D177" s="194"/>
      <c r="E177" s="194"/>
      <c r="F177" s="194"/>
      <c r="G177" s="194"/>
      <c r="H177" s="194"/>
      <c r="I177" s="194"/>
      <c r="J177" s="194"/>
      <c r="K177" s="194"/>
      <c r="L177" s="194"/>
      <c r="M177" s="194"/>
      <c r="N177" s="194"/>
      <c r="O177" s="194"/>
      <c r="P177" s="194"/>
      <c r="Q177" s="194"/>
      <c r="R177" s="194"/>
      <c r="S177" s="194"/>
      <c r="T177" s="194"/>
      <c r="U177" s="194"/>
      <c r="V177" s="194"/>
      <c r="W177" s="194"/>
      <c r="X177" s="194"/>
      <c r="Y177" s="194"/>
      <c r="Z177" s="194"/>
      <c r="AA177" s="194"/>
      <c r="AB177" s="194"/>
    </row>
    <row r="178" spans="4:28">
      <c r="D178" s="194"/>
      <c r="E178" s="194"/>
      <c r="F178" s="194"/>
      <c r="G178" s="194"/>
      <c r="H178" s="194"/>
      <c r="I178" s="194"/>
      <c r="J178" s="194"/>
      <c r="K178" s="194"/>
      <c r="L178" s="194"/>
      <c r="M178" s="194"/>
      <c r="N178" s="194"/>
      <c r="O178" s="194"/>
      <c r="P178" s="194"/>
      <c r="Q178" s="194"/>
      <c r="R178" s="194"/>
      <c r="S178" s="194"/>
      <c r="T178" s="194"/>
      <c r="U178" s="194"/>
      <c r="V178" s="194"/>
      <c r="W178" s="194"/>
      <c r="X178" s="194"/>
      <c r="Y178" s="194"/>
      <c r="Z178" s="194"/>
      <c r="AA178" s="194"/>
      <c r="AB178" s="194"/>
    </row>
    <row r="179" spans="4:28">
      <c r="D179" s="194"/>
      <c r="E179" s="194"/>
      <c r="F179" s="194"/>
      <c r="G179" s="194"/>
      <c r="H179" s="194"/>
      <c r="I179" s="194"/>
      <c r="J179" s="194"/>
      <c r="K179" s="194"/>
      <c r="L179" s="194"/>
      <c r="M179" s="194"/>
      <c r="N179" s="194"/>
      <c r="O179" s="194"/>
      <c r="P179" s="194"/>
      <c r="Q179" s="194"/>
      <c r="R179" s="194"/>
      <c r="S179" s="194"/>
      <c r="T179" s="194"/>
      <c r="U179" s="194"/>
      <c r="V179" s="194"/>
      <c r="W179" s="194"/>
      <c r="X179" s="194"/>
      <c r="Y179" s="194"/>
      <c r="Z179" s="194"/>
      <c r="AA179" s="194"/>
      <c r="AB179" s="194"/>
    </row>
    <row r="180" spans="4:28">
      <c r="D180" s="194"/>
      <c r="E180" s="194"/>
      <c r="F180" s="194"/>
      <c r="G180" s="194"/>
      <c r="H180" s="194"/>
      <c r="I180" s="194"/>
      <c r="J180" s="194"/>
      <c r="K180" s="194"/>
      <c r="L180" s="194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  <c r="X180" s="194"/>
      <c r="Y180" s="194"/>
      <c r="Z180" s="194"/>
      <c r="AA180" s="194"/>
      <c r="AB180" s="194"/>
    </row>
    <row r="181" spans="4:28">
      <c r="D181" s="194"/>
      <c r="E181" s="194"/>
      <c r="F181" s="194"/>
      <c r="G181" s="194"/>
      <c r="H181" s="194"/>
      <c r="I181" s="194"/>
      <c r="J181" s="194"/>
      <c r="K181" s="194"/>
      <c r="L181" s="194"/>
      <c r="M181" s="194"/>
      <c r="N181" s="194"/>
      <c r="O181" s="194"/>
      <c r="P181" s="194"/>
      <c r="Q181" s="194"/>
      <c r="R181" s="194"/>
      <c r="S181" s="194"/>
      <c r="T181" s="194"/>
      <c r="U181" s="194"/>
      <c r="V181" s="194"/>
      <c r="W181" s="194"/>
      <c r="X181" s="194"/>
      <c r="Y181" s="194"/>
      <c r="Z181" s="194"/>
      <c r="AA181" s="194"/>
      <c r="AB181" s="194"/>
    </row>
    <row r="182" spans="4:28">
      <c r="D182" s="194"/>
      <c r="E182" s="194"/>
      <c r="F182" s="194"/>
      <c r="G182" s="194"/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  <c r="X182" s="194"/>
      <c r="Y182" s="194"/>
      <c r="Z182" s="194"/>
      <c r="AA182" s="194"/>
      <c r="AB182" s="194"/>
    </row>
    <row r="183" spans="4:28">
      <c r="D183" s="194"/>
      <c r="E183" s="194"/>
      <c r="F183" s="194"/>
      <c r="G183" s="194"/>
      <c r="H183" s="194"/>
      <c r="I183" s="194"/>
      <c r="J183" s="194"/>
      <c r="K183" s="194"/>
      <c r="L183" s="194"/>
      <c r="M183" s="194"/>
      <c r="N183" s="194"/>
      <c r="O183" s="194"/>
      <c r="P183" s="194"/>
      <c r="Q183" s="194"/>
      <c r="R183" s="194"/>
      <c r="S183" s="194"/>
      <c r="T183" s="194"/>
      <c r="U183" s="194"/>
      <c r="V183" s="194"/>
      <c r="W183" s="194"/>
      <c r="X183" s="194"/>
      <c r="Y183" s="194"/>
      <c r="Z183" s="194"/>
      <c r="AA183" s="194"/>
      <c r="AB183" s="194"/>
    </row>
    <row r="184" spans="4:28">
      <c r="D184" s="194"/>
      <c r="E184" s="194"/>
      <c r="F184" s="194"/>
      <c r="G184" s="194"/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  <c r="X184" s="194"/>
      <c r="Y184" s="194"/>
      <c r="Z184" s="194"/>
      <c r="AA184" s="194"/>
      <c r="AB184" s="194"/>
    </row>
    <row r="185" spans="4:28">
      <c r="D185" s="194"/>
      <c r="E185" s="194"/>
      <c r="F185" s="194"/>
      <c r="G185" s="194"/>
      <c r="H185" s="194"/>
      <c r="I185" s="194"/>
      <c r="J185" s="194"/>
      <c r="K185" s="194"/>
      <c r="L185" s="194"/>
      <c r="M185" s="194"/>
      <c r="N185" s="194"/>
      <c r="O185" s="194"/>
      <c r="P185" s="194"/>
      <c r="Q185" s="194"/>
      <c r="R185" s="194"/>
      <c r="S185" s="194"/>
      <c r="T185" s="194"/>
      <c r="U185" s="194"/>
      <c r="V185" s="194"/>
      <c r="W185" s="194"/>
      <c r="X185" s="194"/>
      <c r="Y185" s="194"/>
      <c r="Z185" s="194"/>
      <c r="AA185" s="194"/>
      <c r="AB185" s="194"/>
    </row>
    <row r="186" spans="4:28">
      <c r="D186" s="194"/>
      <c r="E186" s="194"/>
      <c r="F186" s="194"/>
      <c r="G186" s="194"/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  <c r="X186" s="194"/>
      <c r="Y186" s="194"/>
      <c r="Z186" s="194"/>
      <c r="AA186" s="194"/>
      <c r="AB186" s="194"/>
    </row>
    <row r="187" spans="4:28">
      <c r="D187" s="194"/>
      <c r="E187" s="194"/>
      <c r="F187" s="194"/>
      <c r="G187" s="194"/>
      <c r="H187" s="194"/>
      <c r="I187" s="194"/>
      <c r="J187" s="194"/>
      <c r="K187" s="194"/>
      <c r="L187" s="194"/>
      <c r="M187" s="194"/>
      <c r="N187" s="194"/>
      <c r="O187" s="194"/>
      <c r="P187" s="194"/>
      <c r="Q187" s="194"/>
      <c r="R187" s="194"/>
      <c r="S187" s="194"/>
      <c r="T187" s="194"/>
      <c r="U187" s="194"/>
      <c r="V187" s="194"/>
      <c r="W187" s="194"/>
      <c r="X187" s="194"/>
      <c r="Y187" s="194"/>
      <c r="Z187" s="194"/>
      <c r="AA187" s="194"/>
      <c r="AB187" s="194"/>
    </row>
    <row r="188" spans="4:28">
      <c r="D188" s="194"/>
      <c r="E188" s="194"/>
      <c r="F188" s="194"/>
      <c r="G188" s="194"/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  <c r="X188" s="194"/>
      <c r="Y188" s="194"/>
      <c r="Z188" s="194"/>
      <c r="AA188" s="194"/>
      <c r="AB188" s="194"/>
    </row>
    <row r="189" spans="4:28">
      <c r="D189" s="194"/>
      <c r="E189" s="194"/>
      <c r="F189" s="194"/>
      <c r="G189" s="194"/>
      <c r="H189" s="194"/>
      <c r="I189" s="194"/>
      <c r="J189" s="194"/>
      <c r="K189" s="194"/>
      <c r="L189" s="194"/>
      <c r="M189" s="194"/>
      <c r="N189" s="194"/>
      <c r="O189" s="194"/>
      <c r="P189" s="194"/>
      <c r="Q189" s="194"/>
      <c r="R189" s="194"/>
      <c r="S189" s="194"/>
      <c r="T189" s="194"/>
      <c r="U189" s="194"/>
      <c r="V189" s="194"/>
      <c r="W189" s="194"/>
      <c r="X189" s="194"/>
      <c r="Y189" s="194"/>
      <c r="Z189" s="194"/>
      <c r="AA189" s="194"/>
      <c r="AB189" s="194"/>
    </row>
    <row r="190" spans="4:28">
      <c r="D190" s="194"/>
      <c r="E190" s="194"/>
      <c r="F190" s="194"/>
      <c r="G190" s="194"/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  <c r="X190" s="194"/>
      <c r="Y190" s="194"/>
      <c r="Z190" s="194"/>
      <c r="AA190" s="194"/>
      <c r="AB190" s="194"/>
    </row>
    <row r="191" spans="4:28">
      <c r="D191" s="194"/>
      <c r="E191" s="194"/>
      <c r="F191" s="194"/>
      <c r="G191" s="194"/>
      <c r="H191" s="194"/>
      <c r="I191" s="194"/>
      <c r="J191" s="194"/>
      <c r="K191" s="194"/>
      <c r="L191" s="194"/>
      <c r="M191" s="194"/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4"/>
      <c r="AA191" s="194"/>
      <c r="AB191" s="194"/>
    </row>
    <row r="192" spans="4:28"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194"/>
      <c r="Y192" s="194"/>
      <c r="Z192" s="194"/>
      <c r="AA192" s="194"/>
      <c r="AB192" s="194"/>
    </row>
    <row r="193" spans="4:28">
      <c r="D193" s="194"/>
      <c r="E193" s="194"/>
      <c r="F193" s="194"/>
      <c r="G193" s="194"/>
      <c r="H193" s="194"/>
      <c r="I193" s="194"/>
      <c r="J193" s="194"/>
      <c r="K193" s="194"/>
      <c r="L193" s="194"/>
      <c r="M193" s="194"/>
      <c r="N193" s="194"/>
      <c r="O193" s="194"/>
      <c r="P193" s="194"/>
      <c r="Q193" s="194"/>
      <c r="R193" s="194"/>
      <c r="S193" s="194"/>
      <c r="T193" s="194"/>
      <c r="U193" s="194"/>
      <c r="V193" s="194"/>
      <c r="W193" s="194"/>
      <c r="X193" s="194"/>
      <c r="Y193" s="194"/>
      <c r="Z193" s="194"/>
      <c r="AA193" s="194"/>
      <c r="AB193" s="194"/>
    </row>
    <row r="194" spans="4:28">
      <c r="D194" s="194"/>
      <c r="E194" s="194"/>
      <c r="F194" s="194"/>
      <c r="G194" s="194"/>
      <c r="H194" s="194"/>
      <c r="I194" s="194"/>
      <c r="J194" s="194"/>
      <c r="K194" s="194"/>
      <c r="L194" s="194"/>
      <c r="M194" s="194"/>
      <c r="N194" s="194"/>
      <c r="O194" s="194"/>
      <c r="P194" s="194"/>
      <c r="Q194" s="194"/>
      <c r="R194" s="194"/>
      <c r="S194" s="194"/>
      <c r="T194" s="194"/>
      <c r="U194" s="194"/>
      <c r="V194" s="194"/>
      <c r="W194" s="194"/>
      <c r="X194" s="194"/>
      <c r="Y194" s="194"/>
      <c r="Z194" s="194"/>
      <c r="AA194" s="194"/>
      <c r="AB194" s="194"/>
    </row>
    <row r="195" spans="4:28">
      <c r="D195" s="194"/>
      <c r="E195" s="194"/>
      <c r="F195" s="194"/>
      <c r="G195" s="194"/>
      <c r="H195" s="194"/>
      <c r="I195" s="194"/>
      <c r="J195" s="194"/>
      <c r="K195" s="194"/>
      <c r="L195" s="194"/>
      <c r="M195" s="194"/>
      <c r="N195" s="194"/>
      <c r="O195" s="194"/>
      <c r="P195" s="194"/>
      <c r="Q195" s="194"/>
      <c r="R195" s="194"/>
      <c r="S195" s="194"/>
      <c r="T195" s="194"/>
      <c r="U195" s="194"/>
      <c r="V195" s="194"/>
      <c r="W195" s="194"/>
      <c r="X195" s="194"/>
      <c r="Y195" s="194"/>
      <c r="Z195" s="194"/>
      <c r="AA195" s="194"/>
      <c r="AB195" s="194"/>
    </row>
    <row r="196" spans="4:28">
      <c r="D196" s="194"/>
      <c r="E196" s="194"/>
      <c r="F196" s="194"/>
      <c r="G196" s="194"/>
      <c r="H196" s="194"/>
      <c r="I196" s="194"/>
      <c r="J196" s="194"/>
      <c r="K196" s="194"/>
      <c r="L196" s="194"/>
      <c r="M196" s="194"/>
      <c r="N196" s="194"/>
      <c r="O196" s="194"/>
      <c r="P196" s="194"/>
      <c r="Q196" s="194"/>
      <c r="R196" s="194"/>
      <c r="S196" s="194"/>
      <c r="T196" s="194"/>
      <c r="U196" s="194"/>
      <c r="V196" s="194"/>
      <c r="W196" s="194"/>
      <c r="X196" s="194"/>
      <c r="Y196" s="194"/>
      <c r="Z196" s="194"/>
      <c r="AA196" s="194"/>
      <c r="AB196" s="194"/>
    </row>
    <row r="197" spans="4:28">
      <c r="D197" s="194"/>
      <c r="E197" s="194"/>
      <c r="F197" s="194"/>
      <c r="G197" s="194"/>
      <c r="H197" s="194"/>
      <c r="I197" s="194"/>
      <c r="J197" s="194"/>
      <c r="K197" s="194"/>
      <c r="L197" s="194"/>
      <c r="M197" s="194"/>
      <c r="N197" s="194"/>
      <c r="O197" s="194"/>
      <c r="P197" s="194"/>
      <c r="Q197" s="194"/>
      <c r="R197" s="194"/>
      <c r="S197" s="194"/>
      <c r="T197" s="194"/>
      <c r="U197" s="194"/>
      <c r="V197" s="194"/>
      <c r="W197" s="194"/>
      <c r="X197" s="194"/>
      <c r="Y197" s="194"/>
      <c r="Z197" s="194"/>
      <c r="AA197" s="194"/>
      <c r="AB197" s="194"/>
    </row>
    <row r="198" spans="4:28">
      <c r="D198" s="194"/>
      <c r="E198" s="194"/>
      <c r="F198" s="194"/>
      <c r="G198" s="194"/>
      <c r="H198" s="194"/>
      <c r="I198" s="194"/>
      <c r="J198" s="194"/>
      <c r="K198" s="194"/>
      <c r="L198" s="194"/>
      <c r="M198" s="194"/>
      <c r="N198" s="194"/>
      <c r="O198" s="194"/>
      <c r="P198" s="194"/>
      <c r="Q198" s="194"/>
      <c r="R198" s="194"/>
      <c r="S198" s="194"/>
      <c r="T198" s="194"/>
      <c r="U198" s="194"/>
      <c r="V198" s="194"/>
      <c r="W198" s="194"/>
      <c r="X198" s="194"/>
      <c r="Y198" s="194"/>
      <c r="Z198" s="194"/>
      <c r="AA198" s="194"/>
      <c r="AB198" s="194"/>
    </row>
    <row r="199" spans="4:28">
      <c r="D199" s="194"/>
      <c r="E199" s="194"/>
      <c r="F199" s="194"/>
      <c r="G199" s="194"/>
      <c r="H199" s="194"/>
      <c r="I199" s="194"/>
      <c r="J199" s="194"/>
      <c r="K199" s="194"/>
      <c r="L199" s="194"/>
      <c r="M199" s="194"/>
      <c r="N199" s="194"/>
      <c r="O199" s="194"/>
      <c r="P199" s="194"/>
      <c r="Q199" s="194"/>
      <c r="R199" s="194"/>
      <c r="S199" s="194"/>
      <c r="T199" s="194"/>
      <c r="U199" s="194"/>
      <c r="V199" s="194"/>
      <c r="W199" s="194"/>
      <c r="X199" s="194"/>
      <c r="Y199" s="194"/>
      <c r="Z199" s="194"/>
      <c r="AA199" s="194"/>
      <c r="AB199" s="194"/>
    </row>
    <row r="200" spans="4:28">
      <c r="D200" s="194"/>
      <c r="E200" s="194"/>
      <c r="F200" s="194"/>
      <c r="G200" s="194"/>
      <c r="H200" s="194"/>
      <c r="I200" s="194"/>
      <c r="J200" s="194"/>
      <c r="K200" s="194"/>
      <c r="L200" s="194"/>
      <c r="M200" s="194"/>
      <c r="N200" s="194"/>
      <c r="O200" s="194"/>
      <c r="P200" s="194"/>
      <c r="Q200" s="194"/>
      <c r="R200" s="194"/>
      <c r="S200" s="194"/>
      <c r="T200" s="194"/>
      <c r="U200" s="194"/>
      <c r="V200" s="194"/>
      <c r="W200" s="194"/>
      <c r="X200" s="194"/>
      <c r="Y200" s="194"/>
      <c r="Z200" s="194"/>
      <c r="AA200" s="194"/>
      <c r="AB200" s="194"/>
    </row>
    <row r="201" spans="4:28">
      <c r="D201" s="194"/>
      <c r="E201" s="194"/>
      <c r="F201" s="194"/>
      <c r="G201" s="194"/>
      <c r="H201" s="194"/>
      <c r="I201" s="194"/>
      <c r="J201" s="194"/>
      <c r="K201" s="194"/>
      <c r="L201" s="194"/>
      <c r="M201" s="194"/>
      <c r="N201" s="194"/>
      <c r="O201" s="194"/>
      <c r="P201" s="194"/>
      <c r="Q201" s="194"/>
      <c r="R201" s="194"/>
      <c r="S201" s="194"/>
      <c r="T201" s="194"/>
      <c r="U201" s="194"/>
      <c r="V201" s="194"/>
      <c r="W201" s="194"/>
      <c r="X201" s="194"/>
      <c r="Y201" s="194"/>
      <c r="Z201" s="194"/>
      <c r="AA201" s="194"/>
      <c r="AB201" s="194"/>
    </row>
    <row r="202" spans="4:28">
      <c r="D202" s="194"/>
      <c r="E202" s="194"/>
      <c r="F202" s="194"/>
      <c r="G202" s="194"/>
      <c r="H202" s="194"/>
      <c r="I202" s="194"/>
      <c r="J202" s="194"/>
      <c r="K202" s="194"/>
      <c r="L202" s="194"/>
      <c r="M202" s="194"/>
      <c r="N202" s="194"/>
      <c r="O202" s="194"/>
      <c r="P202" s="194"/>
      <c r="Q202" s="194"/>
      <c r="R202" s="194"/>
      <c r="S202" s="194"/>
      <c r="T202" s="194"/>
      <c r="U202" s="194"/>
      <c r="V202" s="194"/>
      <c r="W202" s="194"/>
      <c r="X202" s="194"/>
      <c r="Y202" s="194"/>
      <c r="Z202" s="194"/>
      <c r="AA202" s="194"/>
      <c r="AB202" s="194"/>
    </row>
    <row r="203" spans="4:28">
      <c r="D203" s="194"/>
      <c r="E203" s="194"/>
      <c r="F203" s="194"/>
      <c r="G203" s="194"/>
      <c r="H203" s="194"/>
      <c r="I203" s="194"/>
      <c r="J203" s="194"/>
      <c r="K203" s="194"/>
      <c r="L203" s="194"/>
      <c r="M203" s="194"/>
      <c r="N203" s="194"/>
      <c r="O203" s="194"/>
      <c r="P203" s="194"/>
      <c r="Q203" s="194"/>
      <c r="R203" s="194"/>
      <c r="S203" s="194"/>
      <c r="T203" s="194"/>
      <c r="U203" s="194"/>
      <c r="V203" s="194"/>
      <c r="W203" s="194"/>
      <c r="X203" s="194"/>
      <c r="Y203" s="194"/>
      <c r="Z203" s="194"/>
      <c r="AA203" s="194"/>
      <c r="AB203" s="194"/>
    </row>
    <row r="204" spans="4:28">
      <c r="D204" s="194"/>
      <c r="E204" s="194"/>
      <c r="F204" s="194"/>
      <c r="G204" s="194"/>
      <c r="H204" s="194"/>
      <c r="I204" s="194"/>
      <c r="J204" s="194"/>
      <c r="K204" s="194"/>
      <c r="L204" s="194"/>
      <c r="M204" s="194"/>
      <c r="N204" s="194"/>
      <c r="O204" s="194"/>
      <c r="P204" s="194"/>
      <c r="Q204" s="194"/>
      <c r="R204" s="194"/>
      <c r="S204" s="194"/>
      <c r="T204" s="194"/>
      <c r="U204" s="194"/>
      <c r="V204" s="194"/>
      <c r="W204" s="194"/>
      <c r="X204" s="194"/>
      <c r="Y204" s="194"/>
      <c r="Z204" s="194"/>
      <c r="AA204" s="194"/>
      <c r="AB204" s="194"/>
    </row>
    <row r="205" spans="4:28">
      <c r="D205" s="194"/>
      <c r="E205" s="194"/>
      <c r="F205" s="194"/>
      <c r="G205" s="194"/>
      <c r="H205" s="194"/>
      <c r="I205" s="194"/>
      <c r="J205" s="194"/>
      <c r="K205" s="194"/>
      <c r="L205" s="194"/>
      <c r="M205" s="194"/>
      <c r="N205" s="194"/>
      <c r="O205" s="194"/>
      <c r="P205" s="194"/>
      <c r="Q205" s="194"/>
      <c r="R205" s="194"/>
      <c r="S205" s="194"/>
      <c r="T205" s="194"/>
      <c r="U205" s="194"/>
      <c r="V205" s="194"/>
      <c r="W205" s="194"/>
      <c r="X205" s="194"/>
      <c r="Y205" s="194"/>
      <c r="Z205" s="194"/>
      <c r="AA205" s="194"/>
      <c r="AB205" s="194"/>
    </row>
    <row r="206" spans="4:28">
      <c r="D206" s="194"/>
      <c r="E206" s="194"/>
      <c r="F206" s="194"/>
      <c r="G206" s="194"/>
      <c r="H206" s="194"/>
      <c r="I206" s="194"/>
      <c r="J206" s="194"/>
      <c r="K206" s="194"/>
      <c r="L206" s="194"/>
      <c r="M206" s="194"/>
      <c r="N206" s="194"/>
      <c r="O206" s="194"/>
      <c r="P206" s="194"/>
      <c r="Q206" s="194"/>
      <c r="R206" s="194"/>
      <c r="S206" s="194"/>
      <c r="T206" s="194"/>
      <c r="U206" s="194"/>
      <c r="V206" s="194"/>
      <c r="W206" s="194"/>
      <c r="X206" s="194"/>
      <c r="Y206" s="194"/>
      <c r="Z206" s="194"/>
      <c r="AA206" s="194"/>
      <c r="AB206" s="194"/>
    </row>
    <row r="207" spans="4:28">
      <c r="D207" s="194"/>
      <c r="E207" s="194"/>
      <c r="F207" s="194"/>
      <c r="G207" s="194"/>
      <c r="H207" s="194"/>
      <c r="I207" s="194"/>
      <c r="J207" s="194"/>
      <c r="K207" s="194"/>
      <c r="L207" s="194"/>
      <c r="M207" s="194"/>
      <c r="N207" s="194"/>
      <c r="O207" s="194"/>
      <c r="P207" s="194"/>
      <c r="Q207" s="194"/>
      <c r="R207" s="194"/>
      <c r="S207" s="194"/>
      <c r="T207" s="194"/>
      <c r="U207" s="194"/>
      <c r="V207" s="194"/>
      <c r="W207" s="194"/>
      <c r="X207" s="194"/>
      <c r="Y207" s="194"/>
      <c r="Z207" s="194"/>
      <c r="AA207" s="194"/>
      <c r="AB207" s="194"/>
    </row>
    <row r="208" spans="4:28">
      <c r="D208" s="194"/>
      <c r="E208" s="194"/>
      <c r="F208" s="194"/>
      <c r="G208" s="194"/>
      <c r="H208" s="194"/>
      <c r="I208" s="194"/>
      <c r="J208" s="194"/>
      <c r="K208" s="194"/>
      <c r="L208" s="194"/>
      <c r="M208" s="194"/>
      <c r="N208" s="194"/>
      <c r="O208" s="194"/>
      <c r="P208" s="194"/>
      <c r="Q208" s="194"/>
      <c r="R208" s="194"/>
      <c r="S208" s="194"/>
      <c r="T208" s="194"/>
      <c r="U208" s="194"/>
      <c r="V208" s="194"/>
      <c r="W208" s="194"/>
      <c r="X208" s="194"/>
      <c r="Y208" s="194"/>
      <c r="Z208" s="194"/>
      <c r="AA208" s="194"/>
      <c r="AB208" s="194"/>
    </row>
    <row r="209" spans="4:28"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4"/>
      <c r="P209" s="194"/>
      <c r="Q209" s="194"/>
      <c r="R209" s="194"/>
      <c r="S209" s="194"/>
      <c r="T209" s="194"/>
      <c r="U209" s="194"/>
      <c r="V209" s="194"/>
      <c r="W209" s="194"/>
      <c r="X209" s="194"/>
      <c r="Y209" s="194"/>
      <c r="Z209" s="194"/>
      <c r="AA209" s="194"/>
      <c r="AB209" s="194"/>
    </row>
    <row r="210" spans="4:28">
      <c r="D210" s="194"/>
      <c r="E210" s="194"/>
      <c r="F210" s="194"/>
      <c r="G210" s="194"/>
      <c r="H210" s="194"/>
      <c r="I210" s="194"/>
      <c r="J210" s="194"/>
      <c r="K210" s="194"/>
      <c r="L210" s="194"/>
      <c r="M210" s="194"/>
      <c r="N210" s="194"/>
      <c r="O210" s="194"/>
      <c r="P210" s="194"/>
      <c r="Q210" s="194"/>
      <c r="R210" s="194"/>
      <c r="S210" s="194"/>
      <c r="T210" s="194"/>
      <c r="U210" s="194"/>
      <c r="V210" s="194"/>
      <c r="W210" s="194"/>
      <c r="X210" s="194"/>
      <c r="Y210" s="194"/>
      <c r="Z210" s="194"/>
      <c r="AA210" s="194"/>
      <c r="AB210" s="194"/>
    </row>
    <row r="211" spans="4:28">
      <c r="D211" s="194"/>
      <c r="E211" s="194"/>
      <c r="F211" s="194"/>
      <c r="G211" s="194"/>
      <c r="H211" s="194"/>
      <c r="I211" s="194"/>
      <c r="J211" s="194"/>
      <c r="K211" s="194"/>
      <c r="L211" s="194"/>
      <c r="M211" s="194"/>
      <c r="N211" s="194"/>
      <c r="O211" s="194"/>
      <c r="P211" s="194"/>
      <c r="Q211" s="194"/>
      <c r="R211" s="194"/>
      <c r="S211" s="194"/>
      <c r="T211" s="194"/>
      <c r="U211" s="194"/>
      <c r="V211" s="194"/>
      <c r="W211" s="194"/>
      <c r="X211" s="194"/>
      <c r="Y211" s="194"/>
      <c r="Z211" s="194"/>
      <c r="AA211" s="194"/>
      <c r="AB211" s="194"/>
    </row>
    <row r="212" spans="4:28">
      <c r="D212" s="194"/>
      <c r="E212" s="194"/>
      <c r="F212" s="194"/>
      <c r="G212" s="194"/>
      <c r="H212" s="194"/>
      <c r="I212" s="194"/>
      <c r="J212" s="194"/>
      <c r="K212" s="194"/>
      <c r="L212" s="194"/>
      <c r="M212" s="194"/>
      <c r="N212" s="194"/>
      <c r="O212" s="194"/>
      <c r="P212" s="194"/>
      <c r="Q212" s="194"/>
      <c r="R212" s="194"/>
      <c r="S212" s="194"/>
      <c r="T212" s="194"/>
      <c r="U212" s="194"/>
      <c r="V212" s="194"/>
      <c r="W212" s="194"/>
      <c r="X212" s="194"/>
      <c r="Y212" s="194"/>
      <c r="Z212" s="194"/>
      <c r="AA212" s="194"/>
      <c r="AB212" s="194"/>
    </row>
    <row r="213" spans="4:28">
      <c r="D213" s="194"/>
      <c r="E213" s="194"/>
      <c r="F213" s="194"/>
      <c r="G213" s="194"/>
      <c r="H213" s="194"/>
      <c r="I213" s="194"/>
      <c r="J213" s="194"/>
      <c r="K213" s="194"/>
      <c r="L213" s="194"/>
      <c r="M213" s="194"/>
      <c r="N213" s="194"/>
      <c r="O213" s="194"/>
      <c r="P213" s="194"/>
      <c r="Q213" s="194"/>
      <c r="R213" s="194"/>
      <c r="S213" s="194"/>
      <c r="T213" s="194"/>
      <c r="U213" s="194"/>
      <c r="V213" s="194"/>
      <c r="W213" s="194"/>
      <c r="X213" s="194"/>
      <c r="Y213" s="194"/>
      <c r="Z213" s="194"/>
      <c r="AA213" s="194"/>
      <c r="AB213" s="194"/>
    </row>
    <row r="214" spans="4:28">
      <c r="D214" s="194"/>
      <c r="E214" s="194"/>
      <c r="F214" s="194"/>
      <c r="G214" s="194"/>
      <c r="H214" s="194"/>
      <c r="I214" s="194"/>
      <c r="J214" s="194"/>
      <c r="K214" s="194"/>
      <c r="L214" s="194"/>
      <c r="M214" s="194"/>
      <c r="N214" s="194"/>
      <c r="O214" s="194"/>
      <c r="P214" s="194"/>
      <c r="Q214" s="194"/>
      <c r="R214" s="194"/>
      <c r="S214" s="194"/>
      <c r="T214" s="194"/>
      <c r="U214" s="194"/>
      <c r="V214" s="194"/>
      <c r="W214" s="194"/>
      <c r="X214" s="194"/>
      <c r="Y214" s="194"/>
      <c r="Z214" s="194"/>
      <c r="AA214" s="194"/>
      <c r="AB214" s="194"/>
    </row>
    <row r="215" spans="4:28">
      <c r="D215" s="194"/>
      <c r="E215" s="194"/>
      <c r="F215" s="194"/>
      <c r="G215" s="194"/>
      <c r="H215" s="194"/>
      <c r="I215" s="194"/>
      <c r="J215" s="194"/>
      <c r="K215" s="194"/>
      <c r="L215" s="194"/>
      <c r="M215" s="194"/>
      <c r="N215" s="194"/>
      <c r="O215" s="194"/>
      <c r="P215" s="194"/>
      <c r="Q215" s="194"/>
      <c r="R215" s="194"/>
      <c r="S215" s="194"/>
      <c r="T215" s="194"/>
      <c r="U215" s="194"/>
      <c r="V215" s="194"/>
      <c r="W215" s="194"/>
      <c r="X215" s="194"/>
      <c r="Y215" s="194"/>
      <c r="Z215" s="194"/>
      <c r="AA215" s="194"/>
      <c r="AB215" s="194"/>
    </row>
    <row r="216" spans="4:28">
      <c r="D216" s="194"/>
      <c r="E216" s="194"/>
      <c r="F216" s="194"/>
      <c r="G216" s="194"/>
      <c r="H216" s="194"/>
      <c r="I216" s="194"/>
      <c r="J216" s="194"/>
      <c r="K216" s="194"/>
      <c r="L216" s="194"/>
      <c r="M216" s="194"/>
      <c r="N216" s="194"/>
      <c r="O216" s="194"/>
      <c r="P216" s="194"/>
      <c r="Q216" s="194"/>
      <c r="R216" s="194"/>
      <c r="S216" s="194"/>
      <c r="T216" s="194"/>
      <c r="U216" s="194"/>
      <c r="V216" s="194"/>
      <c r="W216" s="194"/>
      <c r="X216" s="194"/>
      <c r="Y216" s="194"/>
      <c r="Z216" s="194"/>
      <c r="AA216" s="194"/>
      <c r="AB216" s="194"/>
    </row>
    <row r="217" spans="4:28">
      <c r="D217" s="194"/>
      <c r="E217" s="194"/>
      <c r="F217" s="194"/>
      <c r="G217" s="194"/>
      <c r="H217" s="194"/>
      <c r="I217" s="194"/>
      <c r="J217" s="194"/>
      <c r="K217" s="194"/>
      <c r="L217" s="194"/>
      <c r="M217" s="194"/>
      <c r="N217" s="194"/>
      <c r="O217" s="194"/>
      <c r="P217" s="194"/>
      <c r="Q217" s="194"/>
      <c r="R217" s="194"/>
      <c r="S217" s="194"/>
      <c r="T217" s="194"/>
      <c r="U217" s="194"/>
      <c r="V217" s="194"/>
      <c r="W217" s="194"/>
      <c r="X217" s="194"/>
      <c r="Y217" s="194"/>
      <c r="Z217" s="194"/>
      <c r="AA217" s="194"/>
      <c r="AB217" s="194"/>
    </row>
    <row r="218" spans="4:28">
      <c r="D218" s="194"/>
      <c r="E218" s="194"/>
      <c r="F218" s="194"/>
      <c r="G218" s="194"/>
      <c r="H218" s="194"/>
      <c r="I218" s="194"/>
      <c r="J218" s="194"/>
      <c r="K218" s="194"/>
      <c r="L218" s="194"/>
      <c r="M218" s="194"/>
      <c r="N218" s="194"/>
      <c r="O218" s="194"/>
      <c r="P218" s="194"/>
      <c r="Q218" s="194"/>
      <c r="R218" s="194"/>
      <c r="S218" s="194"/>
      <c r="T218" s="194"/>
      <c r="U218" s="194"/>
      <c r="V218" s="194"/>
      <c r="W218" s="194"/>
      <c r="X218" s="194"/>
      <c r="Y218" s="194"/>
      <c r="Z218" s="194"/>
      <c r="AA218" s="194"/>
      <c r="AB218" s="194"/>
    </row>
    <row r="219" spans="4:28">
      <c r="D219" s="194"/>
      <c r="E219" s="194"/>
      <c r="F219" s="194"/>
      <c r="G219" s="194"/>
      <c r="H219" s="194"/>
      <c r="I219" s="194"/>
      <c r="J219" s="194"/>
      <c r="K219" s="194"/>
      <c r="L219" s="194"/>
      <c r="M219" s="194"/>
      <c r="N219" s="194"/>
      <c r="O219" s="194"/>
      <c r="P219" s="194"/>
      <c r="Q219" s="194"/>
      <c r="R219" s="194"/>
      <c r="S219" s="194"/>
      <c r="T219" s="194"/>
      <c r="U219" s="194"/>
      <c r="V219" s="194"/>
      <c r="W219" s="194"/>
      <c r="X219" s="194"/>
      <c r="Y219" s="194"/>
      <c r="Z219" s="194"/>
      <c r="AA219" s="194"/>
      <c r="AB219" s="194"/>
    </row>
    <row r="220" spans="4:28">
      <c r="D220" s="194"/>
      <c r="E220" s="194"/>
      <c r="F220" s="194"/>
      <c r="G220" s="194"/>
      <c r="H220" s="194"/>
      <c r="I220" s="194"/>
      <c r="J220" s="194"/>
      <c r="K220" s="194"/>
      <c r="L220" s="194"/>
      <c r="M220" s="194"/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4"/>
      <c r="AA220" s="194"/>
      <c r="AB220" s="194"/>
    </row>
    <row r="221" spans="4:28">
      <c r="D221" s="194"/>
      <c r="E221" s="194"/>
      <c r="F221" s="194"/>
      <c r="G221" s="194"/>
      <c r="H221" s="194"/>
      <c r="I221" s="194"/>
      <c r="J221" s="194"/>
      <c r="K221" s="194"/>
      <c r="L221" s="194"/>
      <c r="M221" s="194"/>
      <c r="N221" s="194"/>
      <c r="O221" s="194"/>
      <c r="P221" s="194"/>
      <c r="Q221" s="194"/>
      <c r="R221" s="194"/>
      <c r="S221" s="194"/>
      <c r="T221" s="194"/>
      <c r="U221" s="194"/>
      <c r="V221" s="194"/>
      <c r="W221" s="194"/>
      <c r="X221" s="194"/>
      <c r="Y221" s="194"/>
      <c r="Z221" s="194"/>
      <c r="AA221" s="194"/>
      <c r="AB221" s="194"/>
    </row>
    <row r="222" spans="4:28">
      <c r="D222" s="194"/>
      <c r="E222" s="194"/>
      <c r="F222" s="194"/>
      <c r="G222" s="194"/>
      <c r="H222" s="194"/>
      <c r="I222" s="194"/>
      <c r="J222" s="194"/>
      <c r="K222" s="194"/>
      <c r="L222" s="194"/>
      <c r="M222" s="194"/>
      <c r="N222" s="194"/>
      <c r="O222" s="194"/>
      <c r="P222" s="194"/>
      <c r="Q222" s="194"/>
      <c r="R222" s="194"/>
      <c r="S222" s="194"/>
      <c r="T222" s="194"/>
      <c r="U222" s="194"/>
      <c r="V222" s="194"/>
      <c r="W222" s="194"/>
      <c r="X222" s="194"/>
      <c r="Y222" s="194"/>
      <c r="Z222" s="194"/>
      <c r="AA222" s="194"/>
      <c r="AB222" s="194"/>
    </row>
    <row r="223" spans="4:28">
      <c r="D223" s="194"/>
      <c r="E223" s="194"/>
      <c r="F223" s="194"/>
      <c r="G223" s="194"/>
      <c r="H223" s="194"/>
      <c r="I223" s="194"/>
      <c r="J223" s="194"/>
      <c r="K223" s="194"/>
      <c r="L223" s="194"/>
      <c r="M223" s="194"/>
      <c r="N223" s="194"/>
      <c r="O223" s="194"/>
      <c r="P223" s="194"/>
      <c r="Q223" s="194"/>
      <c r="R223" s="194"/>
      <c r="S223" s="194"/>
      <c r="T223" s="194"/>
      <c r="U223" s="194"/>
      <c r="V223" s="194"/>
      <c r="W223" s="194"/>
      <c r="X223" s="194"/>
      <c r="Y223" s="194"/>
      <c r="Z223" s="194"/>
      <c r="AA223" s="194"/>
      <c r="AB223" s="194"/>
    </row>
    <row r="224" spans="4:28">
      <c r="D224" s="194"/>
      <c r="E224" s="194"/>
      <c r="F224" s="194"/>
      <c r="G224" s="194"/>
      <c r="H224" s="194"/>
      <c r="I224" s="194"/>
      <c r="J224" s="194"/>
      <c r="K224" s="194"/>
      <c r="L224" s="194"/>
      <c r="M224" s="194"/>
      <c r="N224" s="194"/>
      <c r="O224" s="194"/>
      <c r="P224" s="194"/>
      <c r="Q224" s="194"/>
      <c r="R224" s="194"/>
      <c r="S224" s="194"/>
      <c r="T224" s="194"/>
      <c r="U224" s="194"/>
      <c r="V224" s="194"/>
      <c r="W224" s="194"/>
      <c r="X224" s="194"/>
      <c r="Y224" s="194"/>
      <c r="Z224" s="194"/>
      <c r="AA224" s="194"/>
      <c r="AB224" s="194"/>
    </row>
    <row r="225" spans="4:28">
      <c r="D225" s="194"/>
      <c r="E225" s="194"/>
      <c r="F225" s="194"/>
      <c r="G225" s="194"/>
      <c r="H225" s="194"/>
      <c r="I225" s="194"/>
      <c r="J225" s="194"/>
      <c r="K225" s="194"/>
      <c r="L225" s="194"/>
      <c r="M225" s="194"/>
      <c r="N225" s="194"/>
      <c r="O225" s="194"/>
      <c r="P225" s="194"/>
      <c r="Q225" s="194"/>
      <c r="R225" s="194"/>
      <c r="S225" s="194"/>
      <c r="T225" s="194"/>
      <c r="U225" s="194"/>
      <c r="V225" s="194"/>
      <c r="W225" s="194"/>
      <c r="X225" s="194"/>
      <c r="Y225" s="194"/>
      <c r="Z225" s="194"/>
      <c r="AA225" s="194"/>
      <c r="AB225" s="194"/>
    </row>
    <row r="226" spans="4:28">
      <c r="D226" s="194"/>
      <c r="E226" s="194"/>
      <c r="F226" s="194"/>
      <c r="G226" s="194"/>
      <c r="H226" s="194"/>
      <c r="I226" s="194"/>
      <c r="J226" s="194"/>
      <c r="K226" s="194"/>
      <c r="L226" s="194"/>
      <c r="M226" s="194"/>
      <c r="N226" s="194"/>
      <c r="O226" s="194"/>
      <c r="P226" s="194"/>
      <c r="Q226" s="194"/>
      <c r="R226" s="194"/>
      <c r="S226" s="194"/>
      <c r="T226" s="194"/>
      <c r="U226" s="194"/>
      <c r="V226" s="194"/>
      <c r="W226" s="194"/>
      <c r="X226" s="194"/>
      <c r="Y226" s="194"/>
      <c r="Z226" s="194"/>
      <c r="AA226" s="194"/>
      <c r="AB226" s="194"/>
    </row>
    <row r="227" spans="4:28">
      <c r="D227" s="194"/>
      <c r="E227" s="194"/>
      <c r="F227" s="194"/>
      <c r="G227" s="194"/>
      <c r="H227" s="194"/>
      <c r="I227" s="194"/>
      <c r="J227" s="194"/>
      <c r="K227" s="194"/>
      <c r="L227" s="194"/>
      <c r="M227" s="194"/>
      <c r="N227" s="194"/>
      <c r="O227" s="194"/>
      <c r="P227" s="194"/>
      <c r="Q227" s="194"/>
      <c r="R227" s="194"/>
      <c r="S227" s="194"/>
      <c r="T227" s="194"/>
      <c r="U227" s="194"/>
      <c r="V227" s="194"/>
      <c r="W227" s="194"/>
      <c r="X227" s="194"/>
      <c r="Y227" s="194"/>
      <c r="Z227" s="194"/>
      <c r="AA227" s="194"/>
      <c r="AB227" s="194"/>
    </row>
    <row r="228" spans="4:28">
      <c r="D228" s="194"/>
      <c r="E228" s="194"/>
      <c r="F228" s="194"/>
      <c r="G228" s="194"/>
      <c r="H228" s="194"/>
      <c r="I228" s="194"/>
      <c r="J228" s="194"/>
      <c r="K228" s="194"/>
      <c r="L228" s="194"/>
      <c r="M228" s="194"/>
      <c r="N228" s="194"/>
      <c r="O228" s="194"/>
      <c r="P228" s="194"/>
      <c r="Q228" s="194"/>
      <c r="R228" s="194"/>
      <c r="S228" s="194"/>
      <c r="T228" s="194"/>
      <c r="U228" s="194"/>
      <c r="V228" s="194"/>
      <c r="W228" s="194"/>
      <c r="X228" s="194"/>
      <c r="Y228" s="194"/>
      <c r="Z228" s="194"/>
      <c r="AA228" s="194"/>
      <c r="AB228" s="194"/>
    </row>
    <row r="229" spans="4:28">
      <c r="D229" s="194"/>
      <c r="E229" s="194"/>
      <c r="F229" s="194"/>
      <c r="G229" s="194"/>
      <c r="H229" s="194"/>
      <c r="I229" s="194"/>
      <c r="J229" s="194"/>
      <c r="K229" s="194"/>
      <c r="L229" s="194"/>
      <c r="M229" s="194"/>
      <c r="N229" s="194"/>
      <c r="O229" s="194"/>
      <c r="P229" s="194"/>
      <c r="Q229" s="194"/>
      <c r="R229" s="194"/>
      <c r="S229" s="194"/>
      <c r="T229" s="194"/>
      <c r="U229" s="194"/>
      <c r="V229" s="194"/>
      <c r="W229" s="194"/>
      <c r="X229" s="194"/>
      <c r="Y229" s="194"/>
      <c r="Z229" s="194"/>
      <c r="AA229" s="194"/>
      <c r="AB229" s="194"/>
    </row>
    <row r="230" spans="4:28">
      <c r="D230" s="194"/>
      <c r="E230" s="194"/>
      <c r="F230" s="194"/>
      <c r="G230" s="194"/>
      <c r="H230" s="194"/>
      <c r="I230" s="194"/>
      <c r="J230" s="194"/>
      <c r="K230" s="194"/>
      <c r="L230" s="194"/>
      <c r="M230" s="194"/>
      <c r="N230" s="194"/>
      <c r="O230" s="194"/>
      <c r="P230" s="194"/>
      <c r="Q230" s="194"/>
      <c r="R230" s="194"/>
      <c r="S230" s="194"/>
      <c r="T230" s="194"/>
      <c r="U230" s="194"/>
      <c r="V230" s="194"/>
      <c r="W230" s="194"/>
      <c r="X230" s="194"/>
      <c r="Y230" s="194"/>
      <c r="Z230" s="194"/>
      <c r="AA230" s="194"/>
      <c r="AB230" s="194"/>
    </row>
    <row r="231" spans="4:28">
      <c r="D231" s="194"/>
      <c r="E231" s="194"/>
      <c r="F231" s="194"/>
      <c r="G231" s="194"/>
      <c r="H231" s="194"/>
      <c r="I231" s="194"/>
      <c r="J231" s="194"/>
      <c r="K231" s="194"/>
      <c r="L231" s="194"/>
      <c r="M231" s="194"/>
      <c r="N231" s="194"/>
      <c r="O231" s="194"/>
      <c r="P231" s="194"/>
      <c r="Q231" s="194"/>
      <c r="R231" s="194"/>
      <c r="S231" s="194"/>
      <c r="T231" s="194"/>
      <c r="U231" s="194"/>
      <c r="V231" s="194"/>
      <c r="W231" s="194"/>
      <c r="X231" s="194"/>
      <c r="Y231" s="194"/>
      <c r="Z231" s="194"/>
      <c r="AA231" s="194"/>
      <c r="AB231" s="194"/>
    </row>
    <row r="232" spans="4:28">
      <c r="D232" s="194"/>
      <c r="E232" s="194"/>
      <c r="F232" s="194"/>
      <c r="G232" s="194"/>
      <c r="H232" s="194"/>
      <c r="I232" s="194"/>
      <c r="J232" s="194"/>
      <c r="K232" s="194"/>
      <c r="L232" s="194"/>
      <c r="M232" s="194"/>
      <c r="N232" s="194"/>
      <c r="O232" s="194"/>
      <c r="P232" s="194"/>
      <c r="Q232" s="194"/>
      <c r="R232" s="194"/>
      <c r="S232" s="194"/>
      <c r="T232" s="194"/>
      <c r="U232" s="194"/>
      <c r="V232" s="194"/>
      <c r="W232" s="194"/>
      <c r="X232" s="194"/>
      <c r="Y232" s="194"/>
      <c r="Z232" s="194"/>
      <c r="AA232" s="194"/>
      <c r="AB232" s="194"/>
    </row>
    <row r="233" spans="4:28">
      <c r="D233" s="194"/>
      <c r="E233" s="194"/>
      <c r="F233" s="194"/>
      <c r="G233" s="194"/>
      <c r="H233" s="194"/>
      <c r="I233" s="194"/>
      <c r="J233" s="194"/>
      <c r="K233" s="194"/>
      <c r="L233" s="194"/>
      <c r="M233" s="194"/>
      <c r="N233" s="194"/>
      <c r="O233" s="194"/>
      <c r="P233" s="194"/>
      <c r="Q233" s="194"/>
      <c r="R233" s="194"/>
      <c r="S233" s="194"/>
      <c r="T233" s="194"/>
      <c r="U233" s="194"/>
      <c r="V233" s="194"/>
      <c r="W233" s="194"/>
      <c r="X233" s="194"/>
      <c r="Y233" s="194"/>
      <c r="Z233" s="194"/>
      <c r="AA233" s="194"/>
      <c r="AB233" s="194"/>
    </row>
    <row r="234" spans="4:28">
      <c r="D234" s="194"/>
      <c r="E234" s="194"/>
      <c r="F234" s="194"/>
      <c r="G234" s="194"/>
      <c r="H234" s="194"/>
      <c r="I234" s="194"/>
      <c r="J234" s="194"/>
      <c r="K234" s="194"/>
      <c r="L234" s="194"/>
      <c r="M234" s="194"/>
      <c r="N234" s="194"/>
      <c r="O234" s="194"/>
      <c r="P234" s="194"/>
      <c r="Q234" s="194"/>
      <c r="R234" s="194"/>
      <c r="S234" s="194"/>
      <c r="T234" s="194"/>
      <c r="U234" s="194"/>
      <c r="V234" s="194"/>
      <c r="W234" s="194"/>
      <c r="X234" s="194"/>
      <c r="Y234" s="194"/>
      <c r="Z234" s="194"/>
      <c r="AA234" s="194"/>
      <c r="AB234" s="194"/>
    </row>
    <row r="235" spans="4:28">
      <c r="D235" s="194"/>
      <c r="E235" s="194"/>
      <c r="F235" s="194"/>
      <c r="G235" s="194"/>
      <c r="H235" s="194"/>
      <c r="I235" s="194"/>
      <c r="J235" s="194"/>
      <c r="K235" s="194"/>
      <c r="L235" s="194"/>
      <c r="M235" s="194"/>
      <c r="N235" s="194"/>
      <c r="O235" s="194"/>
      <c r="P235" s="194"/>
      <c r="Q235" s="194"/>
      <c r="R235" s="194"/>
      <c r="S235" s="194"/>
      <c r="T235" s="194"/>
      <c r="U235" s="194"/>
      <c r="V235" s="194"/>
      <c r="W235" s="194"/>
      <c r="X235" s="194"/>
      <c r="Y235" s="194"/>
      <c r="Z235" s="194"/>
      <c r="AA235" s="194"/>
      <c r="AB235" s="194"/>
    </row>
    <row r="236" spans="4:28">
      <c r="D236" s="194"/>
      <c r="E236" s="194"/>
      <c r="F236" s="194"/>
      <c r="G236" s="194"/>
      <c r="H236" s="194"/>
      <c r="I236" s="194"/>
      <c r="J236" s="194"/>
      <c r="K236" s="194"/>
      <c r="L236" s="194"/>
      <c r="M236" s="194"/>
      <c r="N236" s="194"/>
      <c r="O236" s="194"/>
      <c r="P236" s="194"/>
      <c r="Q236" s="194"/>
      <c r="R236" s="194"/>
      <c r="S236" s="194"/>
      <c r="T236" s="194"/>
      <c r="U236" s="194"/>
      <c r="V236" s="194"/>
      <c r="W236" s="194"/>
      <c r="X236" s="194"/>
      <c r="Y236" s="194"/>
      <c r="Z236" s="194"/>
      <c r="AA236" s="194"/>
      <c r="AB236" s="194"/>
    </row>
    <row r="237" spans="4:28">
      <c r="D237" s="194"/>
      <c r="E237" s="194"/>
      <c r="F237" s="194"/>
      <c r="G237" s="194"/>
      <c r="H237" s="194"/>
      <c r="I237" s="194"/>
      <c r="J237" s="194"/>
      <c r="K237" s="194"/>
      <c r="L237" s="194"/>
      <c r="M237" s="194"/>
      <c r="N237" s="194"/>
      <c r="O237" s="194"/>
      <c r="P237" s="194"/>
      <c r="Q237" s="194"/>
      <c r="R237" s="194"/>
      <c r="S237" s="194"/>
      <c r="T237" s="194"/>
      <c r="U237" s="194"/>
      <c r="V237" s="194"/>
      <c r="W237" s="194"/>
      <c r="X237" s="194"/>
      <c r="Y237" s="194"/>
      <c r="Z237" s="194"/>
      <c r="AA237" s="194"/>
      <c r="AB237" s="194"/>
    </row>
    <row r="238" spans="4:28">
      <c r="D238" s="194"/>
      <c r="E238" s="194"/>
      <c r="F238" s="194"/>
      <c r="G238" s="194"/>
      <c r="H238" s="194"/>
      <c r="I238" s="194"/>
      <c r="J238" s="194"/>
      <c r="K238" s="194"/>
      <c r="L238" s="194"/>
      <c r="M238" s="194"/>
      <c r="N238" s="194"/>
      <c r="O238" s="194"/>
      <c r="P238" s="194"/>
      <c r="Q238" s="194"/>
      <c r="R238" s="194"/>
      <c r="S238" s="194"/>
      <c r="T238" s="194"/>
      <c r="U238" s="194"/>
      <c r="V238" s="194"/>
      <c r="W238" s="194"/>
      <c r="X238" s="194"/>
      <c r="Y238" s="194"/>
      <c r="Z238" s="194"/>
      <c r="AA238" s="194"/>
      <c r="AB238" s="194"/>
    </row>
    <row r="239" spans="4:28">
      <c r="D239" s="194"/>
      <c r="E239" s="194"/>
      <c r="F239" s="194"/>
      <c r="G239" s="194"/>
      <c r="H239" s="194"/>
      <c r="I239" s="194"/>
      <c r="J239" s="194"/>
      <c r="K239" s="194"/>
      <c r="L239" s="194"/>
      <c r="M239" s="194"/>
      <c r="N239" s="194"/>
      <c r="O239" s="194"/>
      <c r="P239" s="194"/>
      <c r="Q239" s="194"/>
      <c r="R239" s="194"/>
      <c r="S239" s="194"/>
      <c r="T239" s="194"/>
      <c r="U239" s="194"/>
      <c r="V239" s="194"/>
      <c r="W239" s="194"/>
      <c r="X239" s="194"/>
      <c r="Y239" s="194"/>
      <c r="Z239" s="194"/>
      <c r="AA239" s="194"/>
      <c r="AB239" s="194"/>
    </row>
    <row r="240" spans="4:28">
      <c r="D240" s="194"/>
      <c r="E240" s="194"/>
      <c r="F240" s="194"/>
      <c r="G240" s="194"/>
      <c r="H240" s="194"/>
      <c r="I240" s="194"/>
      <c r="J240" s="194"/>
      <c r="K240" s="194"/>
      <c r="L240" s="194"/>
      <c r="M240" s="194"/>
      <c r="N240" s="194"/>
      <c r="O240" s="194"/>
      <c r="P240" s="194"/>
      <c r="Q240" s="194"/>
      <c r="R240" s="194"/>
      <c r="S240" s="194"/>
      <c r="T240" s="194"/>
      <c r="U240" s="194"/>
      <c r="V240" s="194"/>
      <c r="W240" s="194"/>
      <c r="X240" s="194"/>
      <c r="Y240" s="194"/>
      <c r="Z240" s="194"/>
      <c r="AA240" s="194"/>
      <c r="AB240" s="194"/>
    </row>
    <row r="241" spans="4:28">
      <c r="D241" s="194"/>
      <c r="E241" s="194"/>
      <c r="F241" s="194"/>
      <c r="G241" s="194"/>
      <c r="H241" s="194"/>
      <c r="I241" s="194"/>
      <c r="J241" s="194"/>
      <c r="K241" s="194"/>
      <c r="L241" s="194"/>
      <c r="M241" s="194"/>
      <c r="N241" s="194"/>
      <c r="O241" s="194"/>
      <c r="P241" s="194"/>
      <c r="Q241" s="194"/>
      <c r="R241" s="194"/>
      <c r="S241" s="194"/>
      <c r="T241" s="194"/>
      <c r="U241" s="194"/>
      <c r="V241" s="194"/>
      <c r="W241" s="194"/>
      <c r="X241" s="194"/>
      <c r="Y241" s="194"/>
      <c r="Z241" s="194"/>
      <c r="AA241" s="194"/>
      <c r="AB241" s="194"/>
    </row>
    <row r="242" spans="4:28">
      <c r="D242" s="194"/>
      <c r="E242" s="194"/>
      <c r="F242" s="194"/>
      <c r="G242" s="194"/>
      <c r="H242" s="194"/>
      <c r="I242" s="194"/>
      <c r="J242" s="194"/>
      <c r="K242" s="194"/>
      <c r="L242" s="194"/>
      <c r="M242" s="194"/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4"/>
      <c r="AA242" s="194"/>
      <c r="AB242" s="194"/>
    </row>
    <row r="243" spans="4:28">
      <c r="D243" s="194"/>
      <c r="E243" s="194"/>
      <c r="F243" s="194"/>
      <c r="G243" s="194"/>
      <c r="H243" s="194"/>
      <c r="I243" s="194"/>
      <c r="J243" s="194"/>
      <c r="K243" s="194"/>
      <c r="L243" s="194"/>
      <c r="M243" s="194"/>
      <c r="N243" s="194"/>
      <c r="O243" s="194"/>
      <c r="P243" s="194"/>
      <c r="Q243" s="194"/>
      <c r="R243" s="194"/>
      <c r="S243" s="194"/>
      <c r="T243" s="194"/>
      <c r="U243" s="194"/>
      <c r="V243" s="194"/>
      <c r="W243" s="194"/>
      <c r="X243" s="194"/>
      <c r="Y243" s="194"/>
      <c r="Z243" s="194"/>
      <c r="AA243" s="194"/>
      <c r="AB243" s="194"/>
    </row>
    <row r="244" spans="4:28">
      <c r="D244" s="194"/>
      <c r="E244" s="194"/>
      <c r="F244" s="194"/>
      <c r="G244" s="194"/>
      <c r="H244" s="194"/>
      <c r="I244" s="194"/>
      <c r="J244" s="194"/>
      <c r="K244" s="194"/>
      <c r="L244" s="194"/>
      <c r="M244" s="194"/>
      <c r="N244" s="194"/>
      <c r="O244" s="194"/>
      <c r="P244" s="194"/>
      <c r="Q244" s="194"/>
      <c r="R244" s="194"/>
      <c r="S244" s="194"/>
      <c r="T244" s="194"/>
      <c r="U244" s="194"/>
      <c r="V244" s="194"/>
      <c r="W244" s="194"/>
      <c r="X244" s="194"/>
      <c r="Y244" s="194"/>
      <c r="Z244" s="194"/>
      <c r="AA244" s="194"/>
      <c r="AB244" s="194"/>
    </row>
    <row r="245" spans="4:28">
      <c r="D245" s="194"/>
      <c r="E245" s="194"/>
      <c r="F245" s="194"/>
      <c r="G245" s="194"/>
      <c r="H245" s="194"/>
      <c r="I245" s="194"/>
      <c r="J245" s="194"/>
      <c r="K245" s="194"/>
      <c r="L245" s="194"/>
      <c r="M245" s="194"/>
      <c r="N245" s="194"/>
      <c r="O245" s="194"/>
      <c r="P245" s="194"/>
      <c r="Q245" s="194"/>
      <c r="R245" s="194"/>
      <c r="S245" s="194"/>
      <c r="T245" s="194"/>
      <c r="U245" s="194"/>
      <c r="V245" s="194"/>
      <c r="W245" s="194"/>
      <c r="X245" s="194"/>
      <c r="Y245" s="194"/>
      <c r="Z245" s="194"/>
      <c r="AA245" s="194"/>
      <c r="AB245" s="194"/>
    </row>
    <row r="246" spans="4:28">
      <c r="D246" s="194"/>
      <c r="E246" s="194"/>
      <c r="F246" s="194"/>
      <c r="G246" s="194"/>
      <c r="H246" s="194"/>
      <c r="I246" s="194"/>
      <c r="J246" s="194"/>
      <c r="K246" s="194"/>
      <c r="L246" s="194"/>
      <c r="M246" s="194"/>
      <c r="N246" s="194"/>
      <c r="O246" s="194"/>
      <c r="P246" s="194"/>
      <c r="Q246" s="194"/>
      <c r="R246" s="194"/>
      <c r="S246" s="194"/>
      <c r="T246" s="194"/>
      <c r="U246" s="194"/>
      <c r="V246" s="194"/>
      <c r="W246" s="194"/>
      <c r="X246" s="194"/>
      <c r="Y246" s="194"/>
      <c r="Z246" s="194"/>
      <c r="AA246" s="194"/>
      <c r="AB246" s="194"/>
    </row>
    <row r="247" spans="4:28"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4"/>
      <c r="P247" s="194"/>
      <c r="Q247" s="194"/>
      <c r="R247" s="194"/>
      <c r="S247" s="194"/>
      <c r="T247" s="194"/>
      <c r="U247" s="194"/>
      <c r="V247" s="194"/>
      <c r="W247" s="194"/>
      <c r="X247" s="194"/>
      <c r="Y247" s="194"/>
      <c r="Z247" s="194"/>
      <c r="AA247" s="194"/>
      <c r="AB247" s="194"/>
    </row>
    <row r="248" spans="4:28">
      <c r="D248" s="194"/>
      <c r="E248" s="194"/>
      <c r="F248" s="194"/>
      <c r="G248" s="194"/>
      <c r="H248" s="194"/>
      <c r="I248" s="194"/>
      <c r="J248" s="194"/>
      <c r="K248" s="194"/>
      <c r="L248" s="194"/>
      <c r="M248" s="194"/>
      <c r="N248" s="194"/>
      <c r="O248" s="194"/>
      <c r="P248" s="194"/>
      <c r="Q248" s="194"/>
      <c r="R248" s="194"/>
      <c r="S248" s="194"/>
      <c r="T248" s="194"/>
      <c r="U248" s="194"/>
      <c r="V248" s="194"/>
      <c r="W248" s="194"/>
      <c r="X248" s="194"/>
      <c r="Y248" s="194"/>
      <c r="Z248" s="194"/>
      <c r="AA248" s="194"/>
      <c r="AB248" s="194"/>
    </row>
    <row r="249" spans="4:28">
      <c r="D249" s="194"/>
      <c r="E249" s="194"/>
      <c r="F249" s="194"/>
      <c r="G249" s="194"/>
      <c r="H249" s="194"/>
      <c r="I249" s="194"/>
      <c r="J249" s="194"/>
      <c r="K249" s="194"/>
      <c r="L249" s="194"/>
      <c r="M249" s="194"/>
      <c r="N249" s="194"/>
      <c r="O249" s="194"/>
      <c r="P249" s="194"/>
      <c r="Q249" s="194"/>
      <c r="R249" s="194"/>
      <c r="S249" s="194"/>
      <c r="T249" s="194"/>
      <c r="U249" s="194"/>
      <c r="V249" s="194"/>
      <c r="W249" s="194"/>
      <c r="X249" s="194"/>
      <c r="Y249" s="194"/>
      <c r="Z249" s="194"/>
      <c r="AA249" s="194"/>
      <c r="AB249" s="194"/>
    </row>
    <row r="250" spans="4:28">
      <c r="D250" s="194"/>
      <c r="E250" s="194"/>
      <c r="F250" s="194"/>
      <c r="G250" s="194"/>
      <c r="H250" s="194"/>
      <c r="I250" s="194"/>
      <c r="J250" s="194"/>
      <c r="K250" s="194"/>
      <c r="L250" s="194"/>
      <c r="M250" s="194"/>
      <c r="N250" s="194"/>
      <c r="O250" s="194"/>
      <c r="P250" s="194"/>
      <c r="Q250" s="194"/>
      <c r="R250" s="194"/>
      <c r="S250" s="194"/>
      <c r="T250" s="194"/>
      <c r="U250" s="194"/>
      <c r="V250" s="194"/>
      <c r="W250" s="194"/>
      <c r="X250" s="194"/>
      <c r="Y250" s="194"/>
      <c r="Z250" s="194"/>
      <c r="AA250" s="194"/>
      <c r="AB250" s="194"/>
    </row>
    <row r="251" spans="4:28">
      <c r="D251" s="194"/>
      <c r="E251" s="194"/>
      <c r="F251" s="194"/>
      <c r="G251" s="194"/>
      <c r="H251" s="194"/>
      <c r="I251" s="194"/>
      <c r="J251" s="194"/>
      <c r="K251" s="194"/>
      <c r="L251" s="194"/>
      <c r="M251" s="194"/>
      <c r="N251" s="194"/>
      <c r="O251" s="194"/>
      <c r="P251" s="194"/>
      <c r="Q251" s="194"/>
      <c r="R251" s="194"/>
      <c r="S251" s="194"/>
      <c r="T251" s="194"/>
      <c r="U251" s="194"/>
      <c r="V251" s="194"/>
      <c r="W251" s="194"/>
      <c r="X251" s="194"/>
      <c r="Y251" s="194"/>
      <c r="Z251" s="194"/>
      <c r="AA251" s="194"/>
      <c r="AB251" s="194"/>
    </row>
    <row r="252" spans="4:28">
      <c r="D252" s="194"/>
      <c r="E252" s="194"/>
      <c r="F252" s="194"/>
      <c r="G252" s="194"/>
      <c r="H252" s="194"/>
      <c r="I252" s="194"/>
      <c r="J252" s="194"/>
      <c r="K252" s="194"/>
      <c r="L252" s="194"/>
      <c r="M252" s="194"/>
      <c r="N252" s="194"/>
      <c r="O252" s="194"/>
      <c r="P252" s="194"/>
      <c r="Q252" s="194"/>
      <c r="R252" s="194"/>
      <c r="S252" s="194"/>
      <c r="T252" s="194"/>
      <c r="U252" s="194"/>
      <c r="V252" s="194"/>
      <c r="W252" s="194"/>
      <c r="X252" s="194"/>
      <c r="Y252" s="194"/>
      <c r="Z252" s="194"/>
      <c r="AA252" s="194"/>
      <c r="AB252" s="194"/>
    </row>
    <row r="253" spans="4:28">
      <c r="D253" s="194"/>
      <c r="E253" s="194"/>
      <c r="F253" s="194"/>
      <c r="G253" s="194"/>
      <c r="H253" s="194"/>
      <c r="I253" s="194"/>
      <c r="J253" s="194"/>
      <c r="K253" s="194"/>
      <c r="L253" s="194"/>
      <c r="M253" s="194"/>
      <c r="N253" s="194"/>
      <c r="O253" s="194"/>
      <c r="P253" s="194"/>
      <c r="Q253" s="194"/>
      <c r="R253" s="194"/>
      <c r="S253" s="194"/>
      <c r="T253" s="194"/>
      <c r="U253" s="194"/>
      <c r="V253" s="194"/>
      <c r="W253" s="194"/>
      <c r="X253" s="194"/>
      <c r="Y253" s="194"/>
      <c r="Z253" s="194"/>
      <c r="AA253" s="194"/>
      <c r="AB253" s="194"/>
    </row>
    <row r="254" spans="4:28">
      <c r="D254" s="194"/>
      <c r="E254" s="194"/>
      <c r="F254" s="194"/>
      <c r="G254" s="194"/>
      <c r="H254" s="194"/>
      <c r="I254" s="194"/>
      <c r="J254" s="194"/>
      <c r="K254" s="194"/>
      <c r="L254" s="194"/>
      <c r="M254" s="194"/>
      <c r="N254" s="194"/>
      <c r="O254" s="194"/>
      <c r="P254" s="194"/>
      <c r="Q254" s="194"/>
      <c r="R254" s="194"/>
      <c r="S254" s="194"/>
      <c r="T254" s="194"/>
      <c r="U254" s="194"/>
      <c r="V254" s="194"/>
      <c r="W254" s="194"/>
      <c r="X254" s="194"/>
      <c r="Y254" s="194"/>
      <c r="Z254" s="194"/>
      <c r="AA254" s="194"/>
      <c r="AB254" s="194"/>
    </row>
    <row r="255" spans="4:28">
      <c r="D255" s="194"/>
      <c r="E255" s="194"/>
      <c r="F255" s="194"/>
      <c r="G255" s="194"/>
      <c r="H255" s="194"/>
      <c r="I255" s="194"/>
      <c r="J255" s="194"/>
      <c r="K255" s="194"/>
      <c r="L255" s="194"/>
      <c r="M255" s="194"/>
      <c r="N255" s="194"/>
      <c r="O255" s="194"/>
      <c r="P255" s="194"/>
      <c r="Q255" s="194"/>
      <c r="R255" s="194"/>
      <c r="S255" s="194"/>
      <c r="T255" s="194"/>
      <c r="U255" s="194"/>
      <c r="V255" s="194"/>
      <c r="W255" s="194"/>
      <c r="X255" s="194"/>
      <c r="Y255" s="194"/>
      <c r="Z255" s="194"/>
      <c r="AA255" s="194"/>
      <c r="AB255" s="194"/>
    </row>
    <row r="256" spans="4:28">
      <c r="D256" s="194"/>
      <c r="E256" s="194"/>
      <c r="F256" s="194"/>
      <c r="G256" s="194"/>
      <c r="H256" s="194"/>
      <c r="I256" s="194"/>
      <c r="J256" s="194"/>
      <c r="K256" s="194"/>
      <c r="L256" s="194"/>
      <c r="M256" s="194"/>
      <c r="N256" s="194"/>
      <c r="O256" s="194"/>
      <c r="P256" s="194"/>
      <c r="Q256" s="194"/>
      <c r="R256" s="194"/>
      <c r="S256" s="194"/>
      <c r="T256" s="194"/>
      <c r="U256" s="194"/>
      <c r="V256" s="194"/>
      <c r="W256" s="194"/>
      <c r="X256" s="194"/>
      <c r="Y256" s="194"/>
      <c r="Z256" s="194"/>
      <c r="AA256" s="194"/>
      <c r="AB256" s="194"/>
    </row>
    <row r="257" spans="4:28">
      <c r="D257" s="194"/>
      <c r="E257" s="194"/>
      <c r="F257" s="194"/>
      <c r="G257" s="194"/>
      <c r="H257" s="194"/>
      <c r="I257" s="194"/>
      <c r="J257" s="194"/>
      <c r="K257" s="194"/>
      <c r="L257" s="194"/>
      <c r="M257" s="194"/>
      <c r="N257" s="194"/>
      <c r="O257" s="194"/>
      <c r="P257" s="194"/>
      <c r="Q257" s="194"/>
      <c r="R257" s="194"/>
      <c r="S257" s="194"/>
      <c r="T257" s="194"/>
      <c r="U257" s="194"/>
      <c r="V257" s="194"/>
      <c r="W257" s="194"/>
      <c r="X257" s="194"/>
      <c r="Y257" s="194"/>
      <c r="Z257" s="194"/>
      <c r="AA257" s="194"/>
      <c r="AB257" s="194"/>
    </row>
    <row r="258" spans="4:28">
      <c r="D258" s="194"/>
      <c r="E258" s="194"/>
      <c r="F258" s="194"/>
      <c r="G258" s="194"/>
      <c r="H258" s="194"/>
      <c r="I258" s="194"/>
      <c r="J258" s="194"/>
      <c r="K258" s="194"/>
      <c r="L258" s="194"/>
      <c r="M258" s="194"/>
      <c r="N258" s="194"/>
      <c r="O258" s="194"/>
      <c r="P258" s="194"/>
      <c r="Q258" s="194"/>
      <c r="R258" s="194"/>
      <c r="S258" s="194"/>
      <c r="T258" s="194"/>
      <c r="U258" s="194"/>
      <c r="V258" s="194"/>
      <c r="W258" s="194"/>
      <c r="X258" s="194"/>
      <c r="Y258" s="194"/>
      <c r="Z258" s="194"/>
      <c r="AA258" s="194"/>
      <c r="AB258" s="194"/>
    </row>
    <row r="259" spans="4:28">
      <c r="D259" s="194"/>
      <c r="E259" s="194"/>
      <c r="F259" s="194"/>
      <c r="G259" s="194"/>
      <c r="H259" s="194"/>
      <c r="I259" s="194"/>
      <c r="J259" s="194"/>
      <c r="K259" s="194"/>
      <c r="L259" s="194"/>
      <c r="M259" s="194"/>
      <c r="N259" s="194"/>
      <c r="O259" s="194"/>
      <c r="P259" s="194"/>
      <c r="Q259" s="194"/>
      <c r="R259" s="194"/>
      <c r="S259" s="194"/>
      <c r="T259" s="194"/>
      <c r="U259" s="194"/>
      <c r="V259" s="194"/>
      <c r="W259" s="194"/>
      <c r="X259" s="194"/>
      <c r="Y259" s="194"/>
      <c r="Z259" s="194"/>
      <c r="AA259" s="194"/>
      <c r="AB259" s="194"/>
    </row>
    <row r="260" spans="4:28">
      <c r="D260" s="194"/>
      <c r="E260" s="194"/>
      <c r="F260" s="194"/>
      <c r="G260" s="194"/>
      <c r="H260" s="194"/>
      <c r="I260" s="194"/>
      <c r="J260" s="194"/>
      <c r="K260" s="194"/>
      <c r="L260" s="194"/>
      <c r="M260" s="194"/>
      <c r="N260" s="194"/>
      <c r="O260" s="194"/>
      <c r="P260" s="194"/>
      <c r="Q260" s="194"/>
      <c r="R260" s="194"/>
      <c r="S260" s="194"/>
      <c r="T260" s="194"/>
      <c r="U260" s="194"/>
      <c r="V260" s="194"/>
      <c r="W260" s="194"/>
      <c r="X260" s="194"/>
      <c r="Y260" s="194"/>
      <c r="Z260" s="194"/>
      <c r="AA260" s="194"/>
      <c r="AB260" s="194"/>
    </row>
    <row r="261" spans="4:28">
      <c r="D261" s="194"/>
      <c r="E261" s="194"/>
      <c r="F261" s="194"/>
      <c r="G261" s="194"/>
      <c r="H261" s="194"/>
      <c r="I261" s="194"/>
      <c r="J261" s="194"/>
      <c r="K261" s="194"/>
      <c r="L261" s="194"/>
      <c r="M261" s="194"/>
      <c r="N261" s="194"/>
      <c r="O261" s="194"/>
      <c r="P261" s="194"/>
      <c r="Q261" s="194"/>
      <c r="R261" s="194"/>
      <c r="S261" s="194"/>
      <c r="T261" s="194"/>
      <c r="U261" s="194"/>
      <c r="V261" s="194"/>
      <c r="W261" s="194"/>
      <c r="X261" s="194"/>
      <c r="Y261" s="194"/>
      <c r="Z261" s="194"/>
      <c r="AA261" s="194"/>
      <c r="AB261" s="194"/>
    </row>
    <row r="262" spans="4:28">
      <c r="D262" s="194"/>
      <c r="E262" s="194"/>
      <c r="F262" s="194"/>
      <c r="G262" s="194"/>
      <c r="H262" s="194"/>
      <c r="I262" s="194"/>
      <c r="J262" s="194"/>
      <c r="K262" s="194"/>
      <c r="L262" s="194"/>
      <c r="M262" s="194"/>
      <c r="N262" s="194"/>
      <c r="O262" s="194"/>
      <c r="P262" s="194"/>
      <c r="Q262" s="194"/>
      <c r="R262" s="194"/>
      <c r="S262" s="194"/>
      <c r="T262" s="194"/>
      <c r="U262" s="194"/>
      <c r="V262" s="194"/>
      <c r="W262" s="194"/>
      <c r="X262" s="194"/>
      <c r="Y262" s="194"/>
      <c r="Z262" s="194"/>
      <c r="AA262" s="194"/>
      <c r="AB262" s="194"/>
    </row>
    <row r="263" spans="4:28">
      <c r="D263" s="194"/>
      <c r="E263" s="194"/>
      <c r="F263" s="194"/>
      <c r="G263" s="194"/>
      <c r="H263" s="194"/>
      <c r="I263" s="194"/>
      <c r="J263" s="194"/>
      <c r="K263" s="194"/>
      <c r="L263" s="194"/>
      <c r="M263" s="194"/>
      <c r="N263" s="194"/>
      <c r="O263" s="194"/>
      <c r="P263" s="194"/>
      <c r="Q263" s="194"/>
      <c r="R263" s="194"/>
      <c r="S263" s="194"/>
      <c r="T263" s="194"/>
      <c r="U263" s="194"/>
      <c r="V263" s="194"/>
      <c r="W263" s="194"/>
      <c r="X263" s="194"/>
      <c r="Y263" s="194"/>
      <c r="Z263" s="194"/>
      <c r="AA263" s="194"/>
      <c r="AB263" s="194"/>
    </row>
    <row r="264" spans="4:28">
      <c r="D264" s="194"/>
      <c r="E264" s="194"/>
      <c r="F264" s="194"/>
      <c r="G264" s="194"/>
      <c r="H264" s="194"/>
      <c r="I264" s="194"/>
      <c r="J264" s="194"/>
      <c r="K264" s="194"/>
      <c r="L264" s="194"/>
      <c r="M264" s="194"/>
      <c r="N264" s="194"/>
      <c r="O264" s="194"/>
      <c r="P264" s="194"/>
      <c r="Q264" s="194"/>
      <c r="R264" s="194"/>
      <c r="S264" s="194"/>
      <c r="T264" s="194"/>
      <c r="U264" s="194"/>
      <c r="V264" s="194"/>
      <c r="W264" s="194"/>
      <c r="X264" s="194"/>
      <c r="Y264" s="194"/>
      <c r="Z264" s="194"/>
      <c r="AA264" s="194"/>
      <c r="AB264" s="194"/>
    </row>
    <row r="265" spans="4:28">
      <c r="D265" s="194"/>
      <c r="E265" s="194"/>
      <c r="F265" s="194"/>
      <c r="G265" s="194"/>
      <c r="H265" s="194"/>
      <c r="I265" s="194"/>
      <c r="J265" s="194"/>
      <c r="K265" s="194"/>
      <c r="L265" s="194"/>
      <c r="M265" s="194"/>
      <c r="N265" s="194"/>
      <c r="O265" s="194"/>
      <c r="P265" s="194"/>
      <c r="Q265" s="194"/>
      <c r="R265" s="194"/>
      <c r="S265" s="194"/>
      <c r="T265" s="194"/>
      <c r="U265" s="194"/>
      <c r="V265" s="194"/>
      <c r="W265" s="194"/>
      <c r="X265" s="194"/>
      <c r="Y265" s="194"/>
      <c r="Z265" s="194"/>
      <c r="AA265" s="194"/>
      <c r="AB265" s="194"/>
    </row>
    <row r="266" spans="4:28">
      <c r="D266" s="194"/>
      <c r="E266" s="194"/>
      <c r="F266" s="194"/>
      <c r="G266" s="194"/>
      <c r="H266" s="194"/>
      <c r="I266" s="194"/>
      <c r="J266" s="194"/>
      <c r="K266" s="194"/>
      <c r="L266" s="194"/>
      <c r="M266" s="194"/>
      <c r="N266" s="194"/>
      <c r="O266" s="194"/>
      <c r="P266" s="194"/>
      <c r="Q266" s="194"/>
      <c r="R266" s="194"/>
      <c r="S266" s="194"/>
      <c r="T266" s="194"/>
      <c r="U266" s="194"/>
      <c r="V266" s="194"/>
      <c r="W266" s="194"/>
      <c r="X266" s="194"/>
      <c r="Y266" s="194"/>
      <c r="Z266" s="194"/>
      <c r="AA266" s="194"/>
      <c r="AB266" s="194"/>
    </row>
    <row r="267" spans="4:28">
      <c r="D267" s="194"/>
      <c r="E267" s="194"/>
      <c r="F267" s="194"/>
      <c r="G267" s="194"/>
      <c r="H267" s="194"/>
      <c r="I267" s="194"/>
      <c r="J267" s="194"/>
      <c r="K267" s="194"/>
      <c r="L267" s="194"/>
      <c r="M267" s="194"/>
      <c r="N267" s="194"/>
      <c r="O267" s="194"/>
      <c r="P267" s="194"/>
      <c r="Q267" s="194"/>
      <c r="R267" s="194"/>
      <c r="S267" s="194"/>
      <c r="T267" s="194"/>
      <c r="U267" s="194"/>
      <c r="V267" s="194"/>
      <c r="W267" s="194"/>
      <c r="X267" s="194"/>
      <c r="Y267" s="194"/>
      <c r="Z267" s="194"/>
      <c r="AA267" s="194"/>
      <c r="AB267" s="194"/>
    </row>
    <row r="268" spans="4:28">
      <c r="D268" s="194"/>
      <c r="E268" s="194"/>
      <c r="F268" s="194"/>
      <c r="G268" s="194"/>
      <c r="H268" s="194"/>
      <c r="I268" s="194"/>
      <c r="J268" s="194"/>
      <c r="K268" s="194"/>
      <c r="L268" s="194"/>
      <c r="M268" s="194"/>
      <c r="N268" s="194"/>
      <c r="O268" s="194"/>
      <c r="P268" s="194"/>
      <c r="Q268" s="194"/>
      <c r="R268" s="194"/>
      <c r="S268" s="194"/>
      <c r="T268" s="194"/>
      <c r="U268" s="194"/>
      <c r="V268" s="194"/>
      <c r="W268" s="194"/>
      <c r="X268" s="194"/>
      <c r="Y268" s="194"/>
      <c r="Z268" s="194"/>
      <c r="AA268" s="194"/>
      <c r="AB268" s="194"/>
    </row>
    <row r="269" spans="4:28">
      <c r="D269" s="194"/>
      <c r="E269" s="194"/>
      <c r="F269" s="194"/>
      <c r="G269" s="194"/>
      <c r="H269" s="194"/>
      <c r="I269" s="194"/>
      <c r="J269" s="194"/>
      <c r="K269" s="194"/>
      <c r="L269" s="194"/>
      <c r="M269" s="194"/>
      <c r="N269" s="194"/>
      <c r="O269" s="194"/>
      <c r="P269" s="194"/>
      <c r="Q269" s="194"/>
      <c r="R269" s="194"/>
      <c r="S269" s="194"/>
      <c r="T269" s="194"/>
      <c r="U269" s="194"/>
      <c r="V269" s="194"/>
      <c r="W269" s="194"/>
      <c r="X269" s="194"/>
      <c r="Y269" s="194"/>
      <c r="Z269" s="194"/>
      <c r="AA269" s="194"/>
      <c r="AB269" s="194"/>
    </row>
    <row r="270" spans="4:28">
      <c r="D270" s="194"/>
      <c r="E270" s="194"/>
      <c r="F270" s="194"/>
      <c r="G270" s="194"/>
      <c r="H270" s="194"/>
      <c r="I270" s="194"/>
      <c r="J270" s="194"/>
      <c r="K270" s="194"/>
      <c r="L270" s="194"/>
      <c r="M270" s="194"/>
      <c r="N270" s="194"/>
      <c r="O270" s="194"/>
      <c r="P270" s="194"/>
      <c r="Q270" s="194"/>
      <c r="R270" s="194"/>
      <c r="S270" s="194"/>
      <c r="T270" s="194"/>
      <c r="U270" s="194"/>
      <c r="V270" s="194"/>
      <c r="W270" s="194"/>
      <c r="X270" s="194"/>
      <c r="Y270" s="194"/>
      <c r="Z270" s="194"/>
      <c r="AA270" s="194"/>
      <c r="AB270" s="194"/>
    </row>
    <row r="271" spans="4:28">
      <c r="D271" s="194"/>
      <c r="E271" s="194"/>
      <c r="F271" s="194"/>
      <c r="G271" s="194"/>
      <c r="H271" s="194"/>
      <c r="I271" s="194"/>
      <c r="J271" s="194"/>
      <c r="K271" s="194"/>
      <c r="L271" s="194"/>
      <c r="M271" s="194"/>
      <c r="N271" s="194"/>
      <c r="O271" s="194"/>
      <c r="P271" s="194"/>
      <c r="Q271" s="194"/>
      <c r="R271" s="194"/>
      <c r="S271" s="194"/>
      <c r="T271" s="194"/>
      <c r="U271" s="194"/>
      <c r="V271" s="194"/>
      <c r="W271" s="194"/>
      <c r="X271" s="194"/>
      <c r="Y271" s="194"/>
      <c r="Z271" s="194"/>
      <c r="AA271" s="194"/>
      <c r="AB271" s="194"/>
    </row>
    <row r="272" spans="4:28">
      <c r="D272" s="194"/>
      <c r="E272" s="194"/>
      <c r="F272" s="194"/>
      <c r="G272" s="194"/>
      <c r="H272" s="194"/>
      <c r="I272" s="194"/>
      <c r="J272" s="194"/>
      <c r="K272" s="194"/>
      <c r="L272" s="194"/>
      <c r="M272" s="194"/>
      <c r="N272" s="194"/>
      <c r="O272" s="194"/>
      <c r="P272" s="194"/>
      <c r="Q272" s="194"/>
      <c r="R272" s="194"/>
      <c r="S272" s="194"/>
      <c r="T272" s="194"/>
      <c r="U272" s="194"/>
      <c r="V272" s="194"/>
      <c r="W272" s="194"/>
      <c r="X272" s="194"/>
      <c r="Y272" s="194"/>
      <c r="Z272" s="194"/>
      <c r="AA272" s="194"/>
      <c r="AB272" s="194"/>
    </row>
    <row r="273" spans="4:28">
      <c r="D273" s="194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</row>
    <row r="274" spans="4:28">
      <c r="D274" s="194"/>
      <c r="E274" s="194"/>
      <c r="F274" s="194"/>
      <c r="G274" s="194"/>
      <c r="H274" s="194"/>
      <c r="I274" s="194"/>
      <c r="J274" s="194"/>
      <c r="K274" s="194"/>
      <c r="L274" s="194"/>
      <c r="M274" s="194"/>
      <c r="N274" s="194"/>
      <c r="O274" s="194"/>
      <c r="P274" s="194"/>
      <c r="Q274" s="194"/>
      <c r="R274" s="194"/>
      <c r="S274" s="194"/>
      <c r="T274" s="194"/>
      <c r="U274" s="194"/>
      <c r="V274" s="194"/>
      <c r="W274" s="194"/>
      <c r="X274" s="194"/>
      <c r="Y274" s="194"/>
      <c r="Z274" s="194"/>
      <c r="AA274" s="194"/>
      <c r="AB274" s="194"/>
    </row>
    <row r="275" spans="4:28">
      <c r="D275" s="194"/>
      <c r="E275" s="194"/>
      <c r="F275" s="194"/>
      <c r="G275" s="194"/>
      <c r="H275" s="194"/>
      <c r="I275" s="194"/>
      <c r="J275" s="194"/>
      <c r="K275" s="194"/>
      <c r="L275" s="194"/>
      <c r="M275" s="194"/>
      <c r="N275" s="194"/>
      <c r="O275" s="194"/>
      <c r="P275" s="194"/>
      <c r="Q275" s="194"/>
      <c r="R275" s="194"/>
      <c r="S275" s="194"/>
      <c r="T275" s="194"/>
      <c r="U275" s="194"/>
      <c r="V275" s="194"/>
      <c r="W275" s="194"/>
      <c r="X275" s="194"/>
      <c r="Y275" s="194"/>
      <c r="Z275" s="194"/>
      <c r="AA275" s="194"/>
      <c r="AB275" s="194"/>
    </row>
    <row r="276" spans="4:28">
      <c r="D276" s="194"/>
      <c r="E276" s="194"/>
      <c r="F276" s="194"/>
      <c r="G276" s="194"/>
      <c r="H276" s="194"/>
      <c r="I276" s="194"/>
      <c r="J276" s="194"/>
      <c r="K276" s="194"/>
      <c r="L276" s="194"/>
      <c r="M276" s="194"/>
      <c r="N276" s="194"/>
      <c r="O276" s="194"/>
      <c r="P276" s="194"/>
      <c r="Q276" s="194"/>
      <c r="R276" s="194"/>
      <c r="S276" s="194"/>
      <c r="T276" s="194"/>
      <c r="U276" s="194"/>
      <c r="V276" s="194"/>
      <c r="W276" s="194"/>
      <c r="X276" s="194"/>
      <c r="Y276" s="194"/>
      <c r="Z276" s="194"/>
      <c r="AA276" s="194"/>
      <c r="AB276" s="194"/>
    </row>
    <row r="277" spans="4:28">
      <c r="D277" s="194"/>
      <c r="E277" s="194"/>
      <c r="F277" s="194"/>
      <c r="G277" s="194"/>
      <c r="H277" s="194"/>
      <c r="I277" s="194"/>
      <c r="J277" s="194"/>
      <c r="K277" s="194"/>
      <c r="L277" s="194"/>
      <c r="M277" s="194"/>
      <c r="N277" s="194"/>
      <c r="O277" s="194"/>
      <c r="P277" s="194"/>
      <c r="Q277" s="194"/>
      <c r="R277" s="194"/>
      <c r="S277" s="194"/>
      <c r="T277" s="194"/>
      <c r="U277" s="194"/>
      <c r="V277" s="194"/>
      <c r="W277" s="194"/>
      <c r="X277" s="194"/>
      <c r="Y277" s="194"/>
      <c r="Z277" s="194"/>
      <c r="AA277" s="194"/>
      <c r="AB277" s="194"/>
    </row>
    <row r="278" spans="4:28">
      <c r="D278" s="194"/>
      <c r="E278" s="194"/>
      <c r="F278" s="194"/>
      <c r="G278" s="194"/>
      <c r="H278" s="194"/>
      <c r="I278" s="194"/>
      <c r="J278" s="194"/>
      <c r="K278" s="194"/>
      <c r="L278" s="194"/>
      <c r="M278" s="194"/>
      <c r="N278" s="194"/>
      <c r="O278" s="194"/>
      <c r="P278" s="194"/>
      <c r="Q278" s="194"/>
      <c r="R278" s="194"/>
      <c r="S278" s="194"/>
      <c r="T278" s="194"/>
      <c r="U278" s="194"/>
      <c r="V278" s="194"/>
      <c r="W278" s="194"/>
      <c r="X278" s="194"/>
      <c r="Y278" s="194"/>
      <c r="Z278" s="194"/>
      <c r="AA278" s="194"/>
      <c r="AB278" s="194"/>
    </row>
    <row r="279" spans="4:28">
      <c r="D279" s="194"/>
      <c r="E279" s="194"/>
      <c r="F279" s="194"/>
      <c r="G279" s="194"/>
      <c r="H279" s="194"/>
      <c r="I279" s="194"/>
      <c r="J279" s="194"/>
      <c r="K279" s="194"/>
      <c r="L279" s="194"/>
      <c r="M279" s="194"/>
      <c r="N279" s="194"/>
      <c r="O279" s="194"/>
      <c r="P279" s="194"/>
      <c r="Q279" s="194"/>
      <c r="R279" s="194"/>
      <c r="S279" s="194"/>
      <c r="T279" s="194"/>
      <c r="U279" s="194"/>
      <c r="V279" s="194"/>
      <c r="W279" s="194"/>
      <c r="X279" s="194"/>
      <c r="Y279" s="194"/>
      <c r="Z279" s="194"/>
      <c r="AA279" s="194"/>
      <c r="AB279" s="194"/>
    </row>
    <row r="280" spans="4:28">
      <c r="D280" s="194"/>
      <c r="E280" s="194"/>
      <c r="F280" s="194"/>
      <c r="G280" s="194"/>
      <c r="H280" s="194"/>
      <c r="I280" s="194"/>
      <c r="J280" s="194"/>
      <c r="K280" s="194"/>
      <c r="L280" s="194"/>
      <c r="M280" s="194"/>
      <c r="N280" s="194"/>
      <c r="O280" s="194"/>
      <c r="P280" s="194"/>
      <c r="Q280" s="194"/>
      <c r="R280" s="194"/>
      <c r="S280" s="194"/>
      <c r="T280" s="194"/>
      <c r="U280" s="194"/>
      <c r="V280" s="194"/>
      <c r="W280" s="194"/>
      <c r="X280" s="194"/>
      <c r="Y280" s="194"/>
      <c r="Z280" s="194"/>
      <c r="AA280" s="194"/>
      <c r="AB280" s="194"/>
    </row>
    <row r="281" spans="4:28">
      <c r="D281" s="194"/>
      <c r="E281" s="194"/>
      <c r="F281" s="194"/>
      <c r="G281" s="194"/>
      <c r="H281" s="194"/>
      <c r="I281" s="194"/>
      <c r="J281" s="194"/>
      <c r="K281" s="194"/>
      <c r="L281" s="194"/>
      <c r="M281" s="194"/>
      <c r="N281" s="194"/>
      <c r="O281" s="194"/>
      <c r="P281" s="194"/>
      <c r="Q281" s="194"/>
      <c r="R281" s="194"/>
      <c r="S281" s="194"/>
      <c r="T281" s="194"/>
      <c r="U281" s="194"/>
      <c r="V281" s="194"/>
      <c r="W281" s="194"/>
      <c r="X281" s="194"/>
      <c r="Y281" s="194"/>
      <c r="Z281" s="194"/>
      <c r="AA281" s="194"/>
      <c r="AB281" s="194"/>
    </row>
    <row r="282" spans="4:28">
      <c r="D282" s="194"/>
      <c r="E282" s="194"/>
      <c r="F282" s="194"/>
      <c r="G282" s="194"/>
      <c r="H282" s="194"/>
      <c r="I282" s="194"/>
      <c r="J282" s="194"/>
      <c r="K282" s="194"/>
      <c r="L282" s="194"/>
      <c r="M282" s="194"/>
      <c r="N282" s="194"/>
      <c r="O282" s="194"/>
      <c r="P282" s="194"/>
      <c r="Q282" s="194"/>
      <c r="R282" s="194"/>
      <c r="S282" s="194"/>
      <c r="T282" s="194"/>
      <c r="U282" s="194"/>
      <c r="V282" s="194"/>
      <c r="W282" s="194"/>
      <c r="X282" s="194"/>
      <c r="Y282" s="194"/>
      <c r="Z282" s="194"/>
      <c r="AA282" s="194"/>
      <c r="AB282" s="194"/>
    </row>
    <row r="283" spans="4:28">
      <c r="D283" s="194"/>
      <c r="E283" s="194"/>
      <c r="F283" s="194"/>
      <c r="G283" s="194"/>
      <c r="H283" s="194"/>
      <c r="I283" s="194"/>
      <c r="J283" s="194"/>
      <c r="K283" s="194"/>
      <c r="L283" s="194"/>
      <c r="M283" s="194"/>
      <c r="N283" s="194"/>
      <c r="O283" s="194"/>
      <c r="P283" s="194"/>
      <c r="Q283" s="194"/>
      <c r="R283" s="194"/>
      <c r="S283" s="194"/>
      <c r="T283" s="194"/>
      <c r="U283" s="194"/>
      <c r="V283" s="194"/>
      <c r="W283" s="194"/>
      <c r="X283" s="194"/>
      <c r="Y283" s="194"/>
      <c r="Z283" s="194"/>
      <c r="AA283" s="194"/>
      <c r="AB283" s="194"/>
    </row>
    <row r="284" spans="4:28">
      <c r="D284" s="194"/>
      <c r="E284" s="194"/>
      <c r="F284" s="194"/>
      <c r="G284" s="194"/>
      <c r="H284" s="194"/>
      <c r="I284" s="194"/>
      <c r="J284" s="194"/>
      <c r="K284" s="194"/>
      <c r="L284" s="194"/>
      <c r="M284" s="194"/>
      <c r="N284" s="194"/>
      <c r="O284" s="194"/>
      <c r="P284" s="194"/>
      <c r="Q284" s="194"/>
      <c r="R284" s="194"/>
      <c r="S284" s="194"/>
      <c r="T284" s="194"/>
      <c r="U284" s="194"/>
      <c r="V284" s="194"/>
      <c r="W284" s="194"/>
      <c r="X284" s="194"/>
      <c r="Y284" s="194"/>
      <c r="Z284" s="194"/>
      <c r="AA284" s="194"/>
      <c r="AB284" s="194"/>
    </row>
    <row r="285" spans="4:28">
      <c r="D285" s="194"/>
      <c r="E285" s="194"/>
      <c r="F285" s="194"/>
      <c r="G285" s="194"/>
      <c r="H285" s="194"/>
      <c r="I285" s="194"/>
      <c r="J285" s="194"/>
      <c r="K285" s="194"/>
      <c r="L285" s="194"/>
      <c r="M285" s="194"/>
      <c r="N285" s="194"/>
      <c r="O285" s="194"/>
      <c r="P285" s="194"/>
      <c r="Q285" s="194"/>
      <c r="R285" s="194"/>
      <c r="S285" s="194"/>
      <c r="T285" s="194"/>
      <c r="U285" s="194"/>
      <c r="V285" s="194"/>
      <c r="W285" s="194"/>
      <c r="X285" s="194"/>
      <c r="Y285" s="194"/>
      <c r="Z285" s="194"/>
      <c r="AA285" s="194"/>
      <c r="AB285" s="194"/>
    </row>
    <row r="286" spans="4:28">
      <c r="D286" s="194"/>
      <c r="E286" s="194"/>
      <c r="F286" s="194"/>
      <c r="G286" s="194"/>
      <c r="H286" s="194"/>
      <c r="I286" s="194"/>
      <c r="J286" s="194"/>
      <c r="K286" s="194"/>
      <c r="L286" s="194"/>
      <c r="M286" s="194"/>
      <c r="N286" s="194"/>
      <c r="O286" s="194"/>
      <c r="P286" s="194"/>
      <c r="Q286" s="194"/>
      <c r="R286" s="194"/>
      <c r="S286" s="194"/>
      <c r="T286" s="194"/>
      <c r="U286" s="194"/>
      <c r="V286" s="194"/>
      <c r="W286" s="194"/>
      <c r="X286" s="194"/>
      <c r="Y286" s="194"/>
      <c r="Z286" s="194"/>
      <c r="AA286" s="194"/>
      <c r="AB286" s="194"/>
    </row>
    <row r="287" spans="4:28">
      <c r="D287" s="194"/>
      <c r="E287" s="194"/>
      <c r="F287" s="194"/>
      <c r="G287" s="194"/>
      <c r="H287" s="194"/>
      <c r="I287" s="194"/>
      <c r="J287" s="194"/>
      <c r="K287" s="194"/>
      <c r="L287" s="194"/>
      <c r="M287" s="194"/>
      <c r="N287" s="194"/>
      <c r="O287" s="194"/>
      <c r="P287" s="194"/>
      <c r="Q287" s="194"/>
      <c r="R287" s="194"/>
      <c r="S287" s="194"/>
      <c r="T287" s="194"/>
      <c r="U287" s="194"/>
      <c r="V287" s="194"/>
      <c r="W287" s="194"/>
      <c r="X287" s="194"/>
      <c r="Y287" s="194"/>
      <c r="Z287" s="194"/>
      <c r="AA287" s="194"/>
      <c r="AB287" s="194"/>
    </row>
    <row r="288" spans="4:28">
      <c r="D288" s="194"/>
      <c r="E288" s="194"/>
      <c r="F288" s="194"/>
      <c r="G288" s="194"/>
      <c r="H288" s="194"/>
      <c r="I288" s="194"/>
      <c r="J288" s="194"/>
      <c r="K288" s="194"/>
      <c r="L288" s="194"/>
      <c r="M288" s="194"/>
      <c r="N288" s="194"/>
      <c r="O288" s="194"/>
      <c r="P288" s="194"/>
      <c r="Q288" s="194"/>
      <c r="R288" s="194"/>
      <c r="S288" s="194"/>
      <c r="T288" s="194"/>
      <c r="U288" s="194"/>
      <c r="V288" s="194"/>
      <c r="W288" s="194"/>
      <c r="X288" s="194"/>
      <c r="Y288" s="194"/>
      <c r="Z288" s="194"/>
      <c r="AA288" s="194"/>
      <c r="AB288" s="194"/>
    </row>
    <row r="289" spans="4:28">
      <c r="D289" s="194"/>
      <c r="E289" s="194"/>
      <c r="F289" s="194"/>
      <c r="G289" s="194"/>
      <c r="H289" s="194"/>
      <c r="I289" s="194"/>
      <c r="J289" s="194"/>
      <c r="K289" s="194"/>
      <c r="L289" s="194"/>
      <c r="M289" s="194"/>
      <c r="N289" s="194"/>
      <c r="O289" s="194"/>
      <c r="P289" s="194"/>
      <c r="Q289" s="194"/>
      <c r="R289" s="194"/>
      <c r="S289" s="194"/>
      <c r="T289" s="194"/>
      <c r="U289" s="194"/>
      <c r="V289" s="194"/>
      <c r="W289" s="194"/>
      <c r="X289" s="194"/>
      <c r="Y289" s="194"/>
      <c r="Z289" s="194"/>
      <c r="AA289" s="194"/>
      <c r="AB289" s="194"/>
    </row>
    <row r="290" spans="4:28">
      <c r="D290" s="194"/>
      <c r="E290" s="194"/>
      <c r="F290" s="194"/>
      <c r="G290" s="194"/>
      <c r="H290" s="194"/>
      <c r="I290" s="194"/>
      <c r="J290" s="194"/>
      <c r="K290" s="194"/>
      <c r="L290" s="194"/>
      <c r="M290" s="194"/>
      <c r="N290" s="194"/>
      <c r="O290" s="194"/>
      <c r="P290" s="194"/>
      <c r="Q290" s="194"/>
      <c r="R290" s="194"/>
      <c r="S290" s="194"/>
      <c r="T290" s="194"/>
      <c r="U290" s="194"/>
      <c r="V290" s="194"/>
      <c r="W290" s="194"/>
      <c r="X290" s="194"/>
      <c r="Y290" s="194"/>
      <c r="Z290" s="194"/>
      <c r="AA290" s="194"/>
      <c r="AB290" s="194"/>
    </row>
    <row r="291" spans="4:28">
      <c r="D291" s="194"/>
      <c r="E291" s="194"/>
      <c r="F291" s="194"/>
      <c r="G291" s="194"/>
      <c r="H291" s="194"/>
      <c r="I291" s="194"/>
      <c r="J291" s="194"/>
      <c r="K291" s="194"/>
      <c r="L291" s="194"/>
      <c r="M291" s="194"/>
      <c r="N291" s="194"/>
      <c r="O291" s="194"/>
      <c r="P291" s="194"/>
      <c r="Q291" s="194"/>
      <c r="R291" s="194"/>
      <c r="S291" s="194"/>
      <c r="T291" s="194"/>
      <c r="U291" s="194"/>
      <c r="V291" s="194"/>
      <c r="W291" s="194"/>
      <c r="X291" s="194"/>
      <c r="Y291" s="194"/>
      <c r="Z291" s="194"/>
      <c r="AA291" s="194"/>
      <c r="AB291" s="194"/>
    </row>
    <row r="292" spans="4:28">
      <c r="D292" s="194"/>
      <c r="E292" s="194"/>
      <c r="F292" s="194"/>
      <c r="G292" s="194"/>
      <c r="H292" s="194"/>
      <c r="I292" s="194"/>
      <c r="J292" s="194"/>
      <c r="K292" s="194"/>
      <c r="L292" s="194"/>
      <c r="M292" s="194"/>
      <c r="N292" s="194"/>
      <c r="O292" s="194"/>
      <c r="P292" s="194"/>
      <c r="Q292" s="194"/>
      <c r="R292" s="194"/>
      <c r="S292" s="194"/>
      <c r="T292" s="194"/>
      <c r="U292" s="194"/>
      <c r="V292" s="194"/>
      <c r="W292" s="194"/>
      <c r="X292" s="194"/>
      <c r="Y292" s="194"/>
      <c r="Z292" s="194"/>
      <c r="AA292" s="194"/>
      <c r="AB292" s="194"/>
    </row>
    <row r="293" spans="4:28">
      <c r="D293" s="194"/>
      <c r="E293" s="194"/>
      <c r="F293" s="194"/>
      <c r="G293" s="194"/>
      <c r="H293" s="194"/>
      <c r="I293" s="194"/>
      <c r="J293" s="194"/>
      <c r="K293" s="194"/>
      <c r="L293" s="194"/>
      <c r="M293" s="194"/>
      <c r="N293" s="194"/>
      <c r="O293" s="194"/>
      <c r="P293" s="194"/>
      <c r="Q293" s="194"/>
      <c r="R293" s="194"/>
      <c r="S293" s="194"/>
      <c r="T293" s="194"/>
      <c r="U293" s="194"/>
      <c r="V293" s="194"/>
      <c r="W293" s="194"/>
      <c r="X293" s="194"/>
      <c r="Y293" s="194"/>
      <c r="Z293" s="194"/>
      <c r="AA293" s="194"/>
      <c r="AB293" s="194"/>
    </row>
    <row r="294" spans="4:28">
      <c r="D294" s="194"/>
      <c r="E294" s="194"/>
      <c r="F294" s="194"/>
      <c r="G294" s="194"/>
      <c r="H294" s="194"/>
      <c r="I294" s="194"/>
      <c r="J294" s="194"/>
      <c r="K294" s="194"/>
      <c r="L294" s="194"/>
      <c r="M294" s="194"/>
      <c r="N294" s="194"/>
      <c r="O294" s="194"/>
      <c r="P294" s="194"/>
      <c r="Q294" s="194"/>
      <c r="R294" s="194"/>
      <c r="S294" s="194"/>
      <c r="T294" s="194"/>
      <c r="U294" s="194"/>
      <c r="V294" s="194"/>
      <c r="W294" s="194"/>
      <c r="X294" s="194"/>
      <c r="Y294" s="194"/>
      <c r="Z294" s="194"/>
      <c r="AA294" s="194"/>
      <c r="AB294" s="194"/>
    </row>
    <row r="295" spans="4:28">
      <c r="D295" s="194"/>
      <c r="E295" s="194"/>
      <c r="F295" s="194"/>
      <c r="G295" s="194"/>
      <c r="H295" s="194"/>
      <c r="I295" s="194"/>
      <c r="J295" s="194"/>
      <c r="K295" s="194"/>
      <c r="L295" s="194"/>
      <c r="M295" s="194"/>
      <c r="N295" s="194"/>
      <c r="O295" s="194"/>
      <c r="P295" s="194"/>
      <c r="Q295" s="194"/>
      <c r="R295" s="194"/>
      <c r="S295" s="194"/>
      <c r="T295" s="194"/>
      <c r="U295" s="194"/>
      <c r="V295" s="194"/>
      <c r="W295" s="194"/>
      <c r="X295" s="194"/>
      <c r="Y295" s="194"/>
      <c r="Z295" s="194"/>
      <c r="AA295" s="194"/>
      <c r="AB295" s="194"/>
    </row>
    <row r="296" spans="4:28">
      <c r="D296" s="194"/>
      <c r="E296" s="194"/>
      <c r="F296" s="194"/>
      <c r="G296" s="194"/>
      <c r="H296" s="194"/>
      <c r="I296" s="194"/>
      <c r="J296" s="194"/>
      <c r="K296" s="194"/>
      <c r="L296" s="194"/>
      <c r="M296" s="194"/>
      <c r="N296" s="194"/>
      <c r="O296" s="194"/>
      <c r="P296" s="194"/>
      <c r="Q296" s="194"/>
      <c r="R296" s="194"/>
      <c r="S296" s="194"/>
      <c r="T296" s="194"/>
      <c r="U296" s="194"/>
      <c r="V296" s="194"/>
      <c r="W296" s="194"/>
      <c r="X296" s="194"/>
      <c r="Y296" s="194"/>
      <c r="Z296" s="194"/>
      <c r="AA296" s="194"/>
      <c r="AB296" s="194"/>
    </row>
    <row r="297" spans="4:28">
      <c r="D297" s="194"/>
      <c r="E297" s="194"/>
      <c r="F297" s="194"/>
      <c r="G297" s="194"/>
      <c r="H297" s="194"/>
      <c r="I297" s="194"/>
      <c r="J297" s="194"/>
      <c r="K297" s="194"/>
      <c r="L297" s="194"/>
      <c r="M297" s="194"/>
      <c r="N297" s="194"/>
      <c r="O297" s="194"/>
      <c r="P297" s="194"/>
      <c r="Q297" s="194"/>
      <c r="R297" s="194"/>
      <c r="S297" s="194"/>
      <c r="T297" s="194"/>
      <c r="U297" s="194"/>
      <c r="V297" s="194"/>
      <c r="W297" s="194"/>
      <c r="X297" s="194"/>
      <c r="Y297" s="194"/>
      <c r="Z297" s="194"/>
      <c r="AA297" s="194"/>
      <c r="AB297" s="194"/>
    </row>
    <row r="298" spans="4:28">
      <c r="D298" s="194"/>
      <c r="E298" s="194"/>
      <c r="F298" s="194"/>
      <c r="G298" s="194"/>
      <c r="H298" s="194"/>
      <c r="I298" s="194"/>
      <c r="J298" s="194"/>
      <c r="K298" s="194"/>
      <c r="L298" s="194"/>
      <c r="M298" s="194"/>
      <c r="N298" s="194"/>
      <c r="O298" s="194"/>
      <c r="P298" s="194"/>
      <c r="Q298" s="194"/>
      <c r="R298" s="194"/>
      <c r="S298" s="194"/>
      <c r="T298" s="194"/>
      <c r="U298" s="194"/>
      <c r="V298" s="194"/>
      <c r="W298" s="194"/>
      <c r="X298" s="194"/>
      <c r="Y298" s="194"/>
      <c r="Z298" s="194"/>
      <c r="AA298" s="194"/>
      <c r="AB298" s="194"/>
    </row>
    <row r="299" spans="4:28">
      <c r="D299" s="194"/>
      <c r="E299" s="194"/>
      <c r="F299" s="194"/>
      <c r="G299" s="194"/>
      <c r="H299" s="194"/>
      <c r="I299" s="194"/>
      <c r="J299" s="194"/>
      <c r="K299" s="194"/>
      <c r="L299" s="194"/>
      <c r="M299" s="194"/>
      <c r="N299" s="194"/>
      <c r="O299" s="194"/>
      <c r="P299" s="194"/>
      <c r="Q299" s="194"/>
      <c r="R299" s="194"/>
      <c r="S299" s="194"/>
      <c r="T299" s="194"/>
      <c r="U299" s="194"/>
      <c r="V299" s="194"/>
      <c r="W299" s="194"/>
      <c r="X299" s="194"/>
      <c r="Y299" s="194"/>
      <c r="Z299" s="194"/>
      <c r="AA299" s="194"/>
      <c r="AB299" s="194"/>
    </row>
    <row r="300" spans="4:28">
      <c r="D300" s="194"/>
      <c r="E300" s="194"/>
      <c r="F300" s="194"/>
      <c r="G300" s="194"/>
      <c r="H300" s="194"/>
      <c r="I300" s="194"/>
      <c r="J300" s="194"/>
      <c r="K300" s="194"/>
      <c r="L300" s="194"/>
      <c r="M300" s="194"/>
      <c r="N300" s="194"/>
      <c r="O300" s="194"/>
      <c r="P300" s="194"/>
      <c r="Q300" s="194"/>
      <c r="R300" s="194"/>
      <c r="S300" s="194"/>
      <c r="T300" s="194"/>
      <c r="U300" s="194"/>
      <c r="V300" s="194"/>
      <c r="W300" s="194"/>
      <c r="X300" s="194"/>
      <c r="Y300" s="194"/>
      <c r="Z300" s="194"/>
      <c r="AA300" s="194"/>
      <c r="AB300" s="194"/>
    </row>
    <row r="301" spans="4:28">
      <c r="D301" s="194"/>
      <c r="E301" s="194"/>
      <c r="F301" s="194"/>
      <c r="G301" s="194"/>
      <c r="H301" s="194"/>
      <c r="I301" s="194"/>
      <c r="J301" s="194"/>
      <c r="K301" s="194"/>
      <c r="L301" s="194"/>
      <c r="M301" s="194"/>
      <c r="N301" s="194"/>
      <c r="O301" s="194"/>
      <c r="P301" s="194"/>
      <c r="Q301" s="194"/>
      <c r="R301" s="194"/>
      <c r="S301" s="194"/>
      <c r="T301" s="194"/>
      <c r="U301" s="194"/>
      <c r="V301" s="194"/>
      <c r="W301" s="194"/>
      <c r="X301" s="194"/>
      <c r="Y301" s="194"/>
      <c r="Z301" s="194"/>
      <c r="AA301" s="194"/>
      <c r="AB301" s="194"/>
    </row>
    <row r="302" spans="4:28">
      <c r="D302" s="194"/>
      <c r="E302" s="194"/>
      <c r="F302" s="194"/>
      <c r="G302" s="194"/>
      <c r="H302" s="194"/>
      <c r="I302" s="194"/>
      <c r="J302" s="194"/>
      <c r="K302" s="194"/>
      <c r="L302" s="194"/>
      <c r="M302" s="194"/>
      <c r="N302" s="194"/>
      <c r="O302" s="194"/>
      <c r="P302" s="194"/>
      <c r="Q302" s="194"/>
      <c r="R302" s="194"/>
      <c r="S302" s="194"/>
      <c r="T302" s="194"/>
      <c r="U302" s="194"/>
      <c r="V302" s="194"/>
      <c r="W302" s="194"/>
      <c r="X302" s="194"/>
      <c r="Y302" s="194"/>
      <c r="Z302" s="194"/>
      <c r="AA302" s="194"/>
      <c r="AB302" s="194"/>
    </row>
    <row r="303" spans="4:28">
      <c r="D303" s="194"/>
      <c r="E303" s="194"/>
      <c r="F303" s="194"/>
      <c r="G303" s="194"/>
      <c r="H303" s="194"/>
      <c r="I303" s="194"/>
      <c r="J303" s="194"/>
      <c r="K303" s="194"/>
      <c r="L303" s="194"/>
      <c r="M303" s="194"/>
      <c r="N303" s="194"/>
      <c r="O303" s="194"/>
      <c r="P303" s="194"/>
      <c r="Q303" s="194"/>
      <c r="R303" s="194"/>
      <c r="S303" s="194"/>
      <c r="T303" s="194"/>
      <c r="U303" s="194"/>
      <c r="V303" s="194"/>
      <c r="W303" s="194"/>
      <c r="X303" s="194"/>
      <c r="Y303" s="194"/>
      <c r="Z303" s="194"/>
      <c r="AA303" s="194"/>
      <c r="AB303" s="194"/>
    </row>
    <row r="304" spans="4:28">
      <c r="D304" s="194"/>
      <c r="E304" s="194"/>
      <c r="F304" s="194"/>
      <c r="G304" s="194"/>
      <c r="H304" s="194"/>
      <c r="I304" s="194"/>
      <c r="J304" s="194"/>
      <c r="K304" s="194"/>
      <c r="L304" s="194"/>
      <c r="M304" s="194"/>
      <c r="N304" s="194"/>
      <c r="O304" s="194"/>
      <c r="P304" s="194"/>
      <c r="Q304" s="194"/>
      <c r="R304" s="194"/>
      <c r="S304" s="194"/>
      <c r="T304" s="194"/>
      <c r="U304" s="194"/>
      <c r="V304" s="194"/>
      <c r="W304" s="194"/>
      <c r="X304" s="194"/>
      <c r="Y304" s="194"/>
      <c r="Z304" s="194"/>
      <c r="AA304" s="194"/>
      <c r="AB304" s="194"/>
    </row>
    <row r="305" spans="4:28">
      <c r="D305" s="194"/>
      <c r="E305" s="194"/>
      <c r="F305" s="194"/>
      <c r="G305" s="194"/>
      <c r="H305" s="194"/>
      <c r="I305" s="194"/>
      <c r="J305" s="194"/>
      <c r="K305" s="194"/>
      <c r="L305" s="194"/>
      <c r="M305" s="194"/>
      <c r="N305" s="194"/>
      <c r="O305" s="194"/>
      <c r="P305" s="194"/>
      <c r="Q305" s="194"/>
      <c r="R305" s="194"/>
      <c r="S305" s="194"/>
      <c r="T305" s="194"/>
      <c r="U305" s="194"/>
      <c r="V305" s="194"/>
      <c r="W305" s="194"/>
      <c r="X305" s="194"/>
      <c r="Y305" s="194"/>
      <c r="Z305" s="194"/>
      <c r="AA305" s="194"/>
      <c r="AB305" s="194"/>
    </row>
    <row r="306" spans="4:28">
      <c r="D306" s="194"/>
      <c r="E306" s="194"/>
      <c r="F306" s="194"/>
      <c r="G306" s="194"/>
      <c r="H306" s="194"/>
      <c r="I306" s="194"/>
      <c r="J306" s="194"/>
      <c r="K306" s="194"/>
      <c r="L306" s="194"/>
      <c r="M306" s="194"/>
      <c r="N306" s="194"/>
      <c r="O306" s="194"/>
      <c r="P306" s="194"/>
      <c r="Q306" s="194"/>
      <c r="R306" s="194"/>
      <c r="S306" s="194"/>
      <c r="T306" s="194"/>
      <c r="U306" s="194"/>
      <c r="V306" s="194"/>
      <c r="W306" s="194"/>
      <c r="X306" s="194"/>
      <c r="Y306" s="194"/>
      <c r="Z306" s="194"/>
      <c r="AA306" s="194"/>
      <c r="AB306" s="194"/>
    </row>
    <row r="307" spans="4:28">
      <c r="D307" s="194"/>
      <c r="E307" s="194"/>
      <c r="F307" s="194"/>
      <c r="G307" s="194"/>
      <c r="H307" s="194"/>
      <c r="I307" s="194"/>
      <c r="J307" s="194"/>
      <c r="K307" s="194"/>
      <c r="L307" s="194"/>
      <c r="M307" s="194"/>
      <c r="N307" s="194"/>
      <c r="O307" s="194"/>
      <c r="P307" s="194"/>
      <c r="Q307" s="194"/>
      <c r="R307" s="194"/>
      <c r="S307" s="194"/>
      <c r="T307" s="194"/>
      <c r="U307" s="194"/>
      <c r="V307" s="194"/>
      <c r="W307" s="194"/>
      <c r="X307" s="194"/>
      <c r="Y307" s="194"/>
      <c r="Z307" s="194"/>
      <c r="AA307" s="194"/>
      <c r="AB307" s="194"/>
    </row>
    <row r="308" spans="4:28">
      <c r="D308" s="194"/>
      <c r="E308" s="194"/>
      <c r="F308" s="194"/>
      <c r="G308" s="194"/>
      <c r="H308" s="194"/>
      <c r="I308" s="194"/>
      <c r="J308" s="194"/>
      <c r="K308" s="194"/>
      <c r="L308" s="194"/>
      <c r="M308" s="194"/>
      <c r="N308" s="194"/>
      <c r="O308" s="194"/>
      <c r="P308" s="194"/>
      <c r="Q308" s="194"/>
      <c r="R308" s="194"/>
      <c r="S308" s="194"/>
      <c r="T308" s="194"/>
      <c r="U308" s="194"/>
      <c r="V308" s="194"/>
      <c r="W308" s="194"/>
      <c r="X308" s="194"/>
      <c r="Y308" s="194"/>
      <c r="Z308" s="194"/>
      <c r="AA308" s="194"/>
      <c r="AB308" s="194"/>
    </row>
    <row r="309" spans="4:28">
      <c r="D309" s="194"/>
      <c r="E309" s="194"/>
      <c r="F309" s="194"/>
      <c r="G309" s="194"/>
      <c r="H309" s="194"/>
      <c r="I309" s="194"/>
      <c r="J309" s="194"/>
      <c r="K309" s="194"/>
      <c r="L309" s="194"/>
      <c r="M309" s="194"/>
      <c r="N309" s="194"/>
      <c r="O309" s="194"/>
      <c r="P309" s="194"/>
      <c r="Q309" s="194"/>
      <c r="R309" s="194"/>
      <c r="S309" s="194"/>
      <c r="T309" s="194"/>
      <c r="U309" s="194"/>
      <c r="V309" s="194"/>
      <c r="W309" s="194"/>
      <c r="X309" s="194"/>
      <c r="Y309" s="194"/>
      <c r="Z309" s="194"/>
      <c r="AA309" s="194"/>
      <c r="AB309" s="194"/>
    </row>
    <row r="310" spans="4:28">
      <c r="D310" s="194"/>
      <c r="E310" s="194"/>
      <c r="F310" s="194"/>
      <c r="G310" s="194"/>
      <c r="H310" s="194"/>
      <c r="I310" s="194"/>
      <c r="J310" s="194"/>
      <c r="K310" s="194"/>
      <c r="L310" s="194"/>
      <c r="M310" s="194"/>
      <c r="N310" s="194"/>
      <c r="O310" s="194"/>
      <c r="P310" s="194"/>
      <c r="Q310" s="194"/>
      <c r="R310" s="194"/>
      <c r="S310" s="194"/>
      <c r="T310" s="194"/>
      <c r="U310" s="194"/>
      <c r="V310" s="194"/>
      <c r="W310" s="194"/>
      <c r="X310" s="194"/>
      <c r="Y310" s="194"/>
      <c r="Z310" s="194"/>
      <c r="AA310" s="194"/>
      <c r="AB310" s="194"/>
    </row>
    <row r="311" spans="4:28">
      <c r="D311" s="194"/>
      <c r="E311" s="194"/>
      <c r="F311" s="194"/>
      <c r="G311" s="194"/>
      <c r="H311" s="194"/>
      <c r="I311" s="194"/>
      <c r="J311" s="194"/>
      <c r="K311" s="194"/>
      <c r="L311" s="194"/>
      <c r="M311" s="194"/>
      <c r="N311" s="194"/>
      <c r="O311" s="194"/>
      <c r="P311" s="194"/>
      <c r="Q311" s="194"/>
      <c r="R311" s="194"/>
      <c r="S311" s="194"/>
      <c r="T311" s="194"/>
      <c r="U311" s="194"/>
      <c r="V311" s="194"/>
      <c r="W311" s="194"/>
      <c r="X311" s="194"/>
      <c r="Y311" s="194"/>
      <c r="Z311" s="194"/>
      <c r="AA311" s="194"/>
      <c r="AB311" s="194"/>
    </row>
    <row r="312" spans="4:28"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</row>
    <row r="313" spans="4:28">
      <c r="D313" s="194"/>
      <c r="E313" s="194"/>
      <c r="F313" s="194"/>
      <c r="G313" s="194"/>
      <c r="H313" s="194"/>
      <c r="I313" s="194"/>
      <c r="J313" s="194"/>
      <c r="K313" s="194"/>
      <c r="L313" s="194"/>
      <c r="M313" s="194"/>
      <c r="N313" s="194"/>
      <c r="O313" s="194"/>
      <c r="P313" s="194"/>
      <c r="Q313" s="194"/>
      <c r="R313" s="194"/>
      <c r="S313" s="194"/>
      <c r="T313" s="194"/>
      <c r="U313" s="194"/>
      <c r="V313" s="194"/>
      <c r="W313" s="194"/>
      <c r="X313" s="194"/>
      <c r="Y313" s="194"/>
      <c r="Z313" s="194"/>
      <c r="AA313" s="194"/>
      <c r="AB313" s="194"/>
    </row>
    <row r="314" spans="4:28">
      <c r="D314" s="194"/>
      <c r="E314" s="194"/>
      <c r="F314" s="194"/>
      <c r="G314" s="194"/>
      <c r="H314" s="194"/>
      <c r="I314" s="194"/>
      <c r="J314" s="194"/>
      <c r="K314" s="194"/>
      <c r="L314" s="194"/>
      <c r="M314" s="194"/>
      <c r="N314" s="194"/>
      <c r="O314" s="194"/>
      <c r="P314" s="194"/>
      <c r="Q314" s="194"/>
      <c r="R314" s="194"/>
      <c r="S314" s="194"/>
      <c r="T314" s="194"/>
      <c r="U314" s="194"/>
      <c r="V314" s="194"/>
      <c r="W314" s="194"/>
      <c r="X314" s="194"/>
      <c r="Y314" s="194"/>
      <c r="Z314" s="194"/>
      <c r="AA314" s="194"/>
      <c r="AB314" s="194"/>
    </row>
    <row r="315" spans="4:28">
      <c r="D315" s="194"/>
      <c r="E315" s="194"/>
      <c r="F315" s="194"/>
      <c r="G315" s="194"/>
      <c r="H315" s="194"/>
      <c r="I315" s="194"/>
      <c r="J315" s="194"/>
      <c r="K315" s="194"/>
      <c r="L315" s="194"/>
      <c r="M315" s="194"/>
      <c r="N315" s="194"/>
      <c r="O315" s="194"/>
      <c r="P315" s="194"/>
      <c r="Q315" s="194"/>
      <c r="R315" s="194"/>
      <c r="S315" s="194"/>
      <c r="T315" s="194"/>
      <c r="U315" s="194"/>
      <c r="V315" s="194"/>
      <c r="W315" s="194"/>
      <c r="X315" s="194"/>
      <c r="Y315" s="194"/>
      <c r="Z315" s="194"/>
      <c r="AA315" s="194"/>
      <c r="AB315" s="194"/>
    </row>
    <row r="316" spans="4:28">
      <c r="D316" s="194"/>
      <c r="E316" s="194"/>
      <c r="F316" s="194"/>
      <c r="G316" s="194"/>
      <c r="H316" s="194"/>
      <c r="I316" s="194"/>
      <c r="J316" s="194"/>
      <c r="K316" s="194"/>
      <c r="L316" s="194"/>
      <c r="M316" s="194"/>
      <c r="N316" s="194"/>
      <c r="O316" s="194"/>
      <c r="P316" s="194"/>
      <c r="Q316" s="194"/>
      <c r="R316" s="194"/>
      <c r="S316" s="194"/>
      <c r="T316" s="194"/>
      <c r="U316" s="194"/>
      <c r="V316" s="194"/>
      <c r="W316" s="194"/>
      <c r="X316" s="194"/>
      <c r="Y316" s="194"/>
      <c r="Z316" s="194"/>
      <c r="AA316" s="194"/>
      <c r="AB316" s="194"/>
    </row>
    <row r="317" spans="4:28">
      <c r="D317" s="194"/>
      <c r="E317" s="194"/>
      <c r="F317" s="194"/>
      <c r="G317" s="194"/>
      <c r="H317" s="194"/>
      <c r="I317" s="194"/>
      <c r="J317" s="194"/>
      <c r="K317" s="194"/>
      <c r="L317" s="194"/>
      <c r="M317" s="194"/>
      <c r="N317" s="194"/>
      <c r="O317" s="194"/>
      <c r="P317" s="194"/>
      <c r="Q317" s="194"/>
      <c r="R317" s="194"/>
      <c r="S317" s="194"/>
      <c r="T317" s="194"/>
      <c r="U317" s="194"/>
      <c r="V317" s="194"/>
      <c r="W317" s="194"/>
      <c r="X317" s="194"/>
      <c r="Y317" s="194"/>
      <c r="Z317" s="194"/>
      <c r="AA317" s="194"/>
      <c r="AB317" s="194"/>
    </row>
    <row r="318" spans="4:28">
      <c r="D318" s="194"/>
      <c r="E318" s="194"/>
      <c r="F318" s="194"/>
      <c r="G318" s="194"/>
      <c r="H318" s="194"/>
      <c r="I318" s="194"/>
      <c r="J318" s="194"/>
      <c r="K318" s="194"/>
      <c r="L318" s="194"/>
      <c r="M318" s="194"/>
      <c r="N318" s="194"/>
      <c r="O318" s="194"/>
      <c r="P318" s="194"/>
      <c r="Q318" s="194"/>
      <c r="R318" s="194"/>
      <c r="S318" s="194"/>
      <c r="T318" s="194"/>
      <c r="U318" s="194"/>
      <c r="V318" s="194"/>
      <c r="W318" s="194"/>
      <c r="X318" s="194"/>
      <c r="Y318" s="194"/>
      <c r="Z318" s="194"/>
      <c r="AA318" s="194"/>
      <c r="AB318" s="194"/>
    </row>
    <row r="319" spans="4:28">
      <c r="D319" s="194"/>
      <c r="E319" s="194"/>
      <c r="F319" s="194"/>
      <c r="G319" s="194"/>
      <c r="H319" s="194"/>
      <c r="I319" s="194"/>
      <c r="J319" s="194"/>
      <c r="K319" s="194"/>
      <c r="L319" s="194"/>
      <c r="M319" s="194"/>
      <c r="N319" s="194"/>
      <c r="O319" s="194"/>
      <c r="P319" s="194"/>
      <c r="Q319" s="194"/>
      <c r="R319" s="194"/>
      <c r="S319" s="194"/>
      <c r="T319" s="194"/>
      <c r="U319" s="194"/>
      <c r="V319" s="194"/>
      <c r="W319" s="194"/>
      <c r="X319" s="194"/>
      <c r="Y319" s="194"/>
      <c r="Z319" s="194"/>
      <c r="AA319" s="194"/>
      <c r="AB319" s="194"/>
    </row>
    <row r="320" spans="4:28">
      <c r="D320" s="194"/>
      <c r="E320" s="194"/>
      <c r="F320" s="194"/>
      <c r="G320" s="194"/>
      <c r="H320" s="194"/>
      <c r="I320" s="194"/>
      <c r="J320" s="194"/>
      <c r="K320" s="194"/>
      <c r="L320" s="194"/>
      <c r="M320" s="194"/>
      <c r="N320" s="194"/>
      <c r="O320" s="194"/>
      <c r="P320" s="194"/>
      <c r="Q320" s="194"/>
      <c r="R320" s="194"/>
      <c r="S320" s="194"/>
      <c r="T320" s="194"/>
      <c r="U320" s="194"/>
      <c r="V320" s="194"/>
      <c r="W320" s="194"/>
      <c r="X320" s="194"/>
      <c r="Y320" s="194"/>
      <c r="Z320" s="194"/>
      <c r="AA320" s="194"/>
      <c r="AB320" s="194"/>
    </row>
    <row r="321" spans="4:28">
      <c r="D321" s="194"/>
      <c r="E321" s="194"/>
      <c r="F321" s="194"/>
      <c r="G321" s="194"/>
      <c r="H321" s="194"/>
      <c r="I321" s="194"/>
      <c r="J321" s="194"/>
      <c r="K321" s="194"/>
      <c r="L321" s="194"/>
      <c r="M321" s="194"/>
      <c r="N321" s="194"/>
      <c r="O321" s="194"/>
      <c r="P321" s="194"/>
      <c r="Q321" s="194"/>
      <c r="R321" s="194"/>
      <c r="S321" s="194"/>
      <c r="T321" s="194"/>
      <c r="U321" s="194"/>
      <c r="V321" s="194"/>
      <c r="W321" s="194"/>
      <c r="X321" s="194"/>
      <c r="Y321" s="194"/>
      <c r="Z321" s="194"/>
      <c r="AA321" s="194"/>
      <c r="AB321" s="194"/>
    </row>
    <row r="322" spans="4:28">
      <c r="D322" s="194"/>
      <c r="E322" s="194"/>
      <c r="F322" s="194"/>
      <c r="G322" s="194"/>
      <c r="H322" s="194"/>
      <c r="I322" s="194"/>
      <c r="J322" s="194"/>
      <c r="K322" s="194"/>
      <c r="L322" s="194"/>
      <c r="M322" s="194"/>
      <c r="N322" s="194"/>
      <c r="O322" s="194"/>
      <c r="P322" s="194"/>
      <c r="Q322" s="194"/>
      <c r="R322" s="194"/>
      <c r="S322" s="194"/>
      <c r="T322" s="194"/>
      <c r="U322" s="194"/>
      <c r="V322" s="194"/>
      <c r="W322" s="194"/>
      <c r="X322" s="194"/>
      <c r="Y322" s="194"/>
      <c r="Z322" s="194"/>
      <c r="AA322" s="194"/>
      <c r="AB322" s="194"/>
    </row>
    <row r="323" spans="4:28">
      <c r="D323" s="194"/>
      <c r="E323" s="194"/>
      <c r="F323" s="194"/>
      <c r="G323" s="194"/>
      <c r="H323" s="194"/>
      <c r="I323" s="194"/>
      <c r="J323" s="194"/>
      <c r="K323" s="194"/>
      <c r="L323" s="194"/>
      <c r="M323" s="194"/>
      <c r="N323" s="194"/>
      <c r="O323" s="194"/>
      <c r="P323" s="194"/>
      <c r="Q323" s="194"/>
      <c r="R323" s="194"/>
      <c r="S323" s="194"/>
      <c r="T323" s="194"/>
      <c r="U323" s="194"/>
      <c r="V323" s="194"/>
      <c r="W323" s="194"/>
      <c r="X323" s="194"/>
      <c r="Y323" s="194"/>
      <c r="Z323" s="194"/>
      <c r="AA323" s="194"/>
      <c r="AB323" s="194"/>
    </row>
    <row r="324" spans="4:28">
      <c r="D324" s="194"/>
      <c r="E324" s="194"/>
      <c r="F324" s="194"/>
      <c r="G324" s="194"/>
      <c r="H324" s="194"/>
      <c r="I324" s="194"/>
      <c r="J324" s="194"/>
      <c r="K324" s="194"/>
      <c r="L324" s="194"/>
      <c r="M324" s="194"/>
      <c r="N324" s="194"/>
      <c r="O324" s="194"/>
      <c r="P324" s="194"/>
      <c r="Q324" s="194"/>
      <c r="R324" s="194"/>
      <c r="S324" s="194"/>
      <c r="T324" s="194"/>
      <c r="U324" s="194"/>
      <c r="V324" s="194"/>
      <c r="W324" s="194"/>
      <c r="X324" s="194"/>
      <c r="Y324" s="194"/>
      <c r="Z324" s="194"/>
      <c r="AA324" s="194"/>
      <c r="AB324" s="194"/>
    </row>
    <row r="325" spans="4:28">
      <c r="D325" s="194"/>
      <c r="E325" s="194"/>
      <c r="F325" s="194"/>
      <c r="G325" s="194"/>
      <c r="H325" s="194"/>
      <c r="I325" s="194"/>
      <c r="J325" s="194"/>
      <c r="K325" s="194"/>
      <c r="L325" s="194"/>
      <c r="M325" s="194"/>
      <c r="N325" s="194"/>
      <c r="O325" s="194"/>
      <c r="P325" s="194"/>
      <c r="Q325" s="194"/>
      <c r="R325" s="194"/>
      <c r="S325" s="194"/>
      <c r="T325" s="194"/>
      <c r="U325" s="194"/>
      <c r="V325" s="194"/>
      <c r="W325" s="194"/>
      <c r="X325" s="194"/>
      <c r="Y325" s="194"/>
      <c r="Z325" s="194"/>
      <c r="AA325" s="194"/>
      <c r="AB325" s="194"/>
    </row>
    <row r="326" spans="4:28">
      <c r="D326" s="194"/>
      <c r="E326" s="194"/>
      <c r="F326" s="194"/>
      <c r="G326" s="194"/>
      <c r="H326" s="194"/>
      <c r="I326" s="194"/>
      <c r="J326" s="194"/>
      <c r="K326" s="194"/>
      <c r="L326" s="194"/>
      <c r="M326" s="194"/>
      <c r="N326" s="194"/>
      <c r="O326" s="194"/>
      <c r="P326" s="194"/>
      <c r="Q326" s="194"/>
      <c r="R326" s="194"/>
      <c r="S326" s="194"/>
      <c r="T326" s="194"/>
      <c r="U326" s="194"/>
      <c r="V326" s="194"/>
      <c r="W326" s="194"/>
      <c r="X326" s="194"/>
      <c r="Y326" s="194"/>
      <c r="Z326" s="194"/>
      <c r="AA326" s="194"/>
      <c r="AB326" s="194"/>
    </row>
    <row r="327" spans="4:28">
      <c r="D327" s="194"/>
      <c r="E327" s="194"/>
      <c r="F327" s="194"/>
      <c r="G327" s="194"/>
      <c r="H327" s="194"/>
      <c r="I327" s="194"/>
      <c r="J327" s="194"/>
      <c r="K327" s="194"/>
      <c r="L327" s="194"/>
      <c r="M327" s="194"/>
      <c r="N327" s="194"/>
      <c r="O327" s="194"/>
      <c r="P327" s="194"/>
      <c r="Q327" s="194"/>
      <c r="R327" s="194"/>
      <c r="S327" s="194"/>
      <c r="T327" s="194"/>
      <c r="U327" s="194"/>
      <c r="V327" s="194"/>
      <c r="W327" s="194"/>
      <c r="X327" s="194"/>
      <c r="Y327" s="194"/>
      <c r="Z327" s="194"/>
      <c r="AA327" s="194"/>
      <c r="AB327" s="194"/>
    </row>
    <row r="328" spans="4:28">
      <c r="D328" s="194"/>
      <c r="E328" s="194"/>
      <c r="F328" s="194"/>
      <c r="G328" s="194"/>
      <c r="H328" s="194"/>
      <c r="I328" s="194"/>
      <c r="J328" s="194"/>
      <c r="K328" s="194"/>
      <c r="L328" s="194"/>
      <c r="M328" s="194"/>
      <c r="N328" s="194"/>
      <c r="O328" s="194"/>
      <c r="P328" s="194"/>
      <c r="Q328" s="194"/>
      <c r="R328" s="194"/>
      <c r="S328" s="194"/>
      <c r="T328" s="194"/>
      <c r="U328" s="194"/>
      <c r="V328" s="194"/>
      <c r="W328" s="194"/>
      <c r="X328" s="194"/>
      <c r="Y328" s="194"/>
      <c r="Z328" s="194"/>
      <c r="AA328" s="194"/>
      <c r="AB328" s="194"/>
    </row>
    <row r="329" spans="4:28">
      <c r="D329" s="194"/>
      <c r="E329" s="194"/>
      <c r="F329" s="194"/>
      <c r="G329" s="194"/>
      <c r="H329" s="194"/>
      <c r="I329" s="194"/>
      <c r="J329" s="194"/>
      <c r="K329" s="194"/>
      <c r="L329" s="194"/>
      <c r="M329" s="194"/>
      <c r="N329" s="194"/>
      <c r="O329" s="194"/>
      <c r="P329" s="194"/>
      <c r="Q329" s="194"/>
      <c r="R329" s="194"/>
      <c r="S329" s="194"/>
      <c r="T329" s="194"/>
      <c r="U329" s="194"/>
      <c r="V329" s="194"/>
      <c r="W329" s="194"/>
      <c r="X329" s="194"/>
      <c r="Y329" s="194"/>
      <c r="Z329" s="194"/>
      <c r="AA329" s="194"/>
      <c r="AB329" s="194"/>
    </row>
    <row r="330" spans="4:28">
      <c r="D330" s="194"/>
      <c r="E330" s="194"/>
      <c r="F330" s="194"/>
      <c r="G330" s="194"/>
      <c r="H330" s="194"/>
      <c r="I330" s="194"/>
      <c r="J330" s="194"/>
      <c r="K330" s="194"/>
      <c r="L330" s="194"/>
      <c r="M330" s="194"/>
      <c r="N330" s="194"/>
      <c r="O330" s="194"/>
      <c r="P330" s="194"/>
      <c r="Q330" s="194"/>
      <c r="R330" s="194"/>
      <c r="S330" s="194"/>
      <c r="T330" s="194"/>
      <c r="U330" s="194"/>
      <c r="V330" s="194"/>
      <c r="W330" s="194"/>
      <c r="X330" s="194"/>
      <c r="Y330" s="194"/>
      <c r="Z330" s="194"/>
      <c r="AA330" s="194"/>
      <c r="AB330" s="194"/>
    </row>
    <row r="331" spans="4:28">
      <c r="D331" s="194"/>
      <c r="E331" s="194"/>
      <c r="F331" s="194"/>
      <c r="G331" s="194"/>
      <c r="H331" s="194"/>
      <c r="I331" s="194"/>
      <c r="J331" s="194"/>
      <c r="K331" s="194"/>
      <c r="L331" s="194"/>
      <c r="M331" s="194"/>
      <c r="N331" s="194"/>
      <c r="O331" s="194"/>
      <c r="P331" s="194"/>
      <c r="Q331" s="194"/>
      <c r="R331" s="194"/>
      <c r="S331" s="194"/>
      <c r="T331" s="194"/>
      <c r="U331" s="194"/>
      <c r="V331" s="194"/>
      <c r="W331" s="194"/>
      <c r="X331" s="194"/>
      <c r="Y331" s="194"/>
      <c r="Z331" s="194"/>
      <c r="AA331" s="194"/>
      <c r="AB331" s="194"/>
    </row>
    <row r="332" spans="4:28">
      <c r="D332" s="194"/>
      <c r="E332" s="194"/>
      <c r="F332" s="194"/>
      <c r="G332" s="194"/>
      <c r="H332" s="194"/>
      <c r="I332" s="194"/>
      <c r="J332" s="194"/>
      <c r="K332" s="194"/>
      <c r="L332" s="194"/>
      <c r="M332" s="194"/>
      <c r="N332" s="194"/>
      <c r="O332" s="194"/>
      <c r="P332" s="194"/>
      <c r="Q332" s="194"/>
      <c r="R332" s="194"/>
      <c r="S332" s="194"/>
      <c r="T332" s="194"/>
      <c r="U332" s="194"/>
      <c r="V332" s="194"/>
      <c r="W332" s="194"/>
      <c r="X332" s="194"/>
      <c r="Y332" s="194"/>
      <c r="Z332" s="194"/>
      <c r="AA332" s="194"/>
      <c r="AB332" s="194"/>
    </row>
    <row r="333" spans="4:28">
      <c r="D333" s="194"/>
      <c r="E333" s="194"/>
      <c r="F333" s="194"/>
      <c r="G333" s="194"/>
      <c r="H333" s="194"/>
      <c r="I333" s="194"/>
      <c r="J333" s="194"/>
      <c r="K333" s="194"/>
      <c r="L333" s="194"/>
      <c r="M333" s="194"/>
      <c r="N333" s="194"/>
      <c r="O333" s="194"/>
      <c r="P333" s="194"/>
      <c r="Q333" s="194"/>
      <c r="R333" s="194"/>
      <c r="S333" s="194"/>
      <c r="T333" s="194"/>
      <c r="U333" s="194"/>
      <c r="V333" s="194"/>
      <c r="W333" s="194"/>
      <c r="X333" s="194"/>
      <c r="Y333" s="194"/>
      <c r="Z333" s="194"/>
      <c r="AA333" s="194"/>
      <c r="AB333" s="194"/>
    </row>
    <row r="334" spans="4:28">
      <c r="D334" s="194"/>
      <c r="E334" s="194"/>
      <c r="F334" s="194"/>
      <c r="G334" s="194"/>
      <c r="H334" s="194"/>
      <c r="I334" s="194"/>
      <c r="J334" s="194"/>
      <c r="K334" s="194"/>
      <c r="L334" s="194"/>
      <c r="M334" s="194"/>
      <c r="N334" s="194"/>
      <c r="O334" s="194"/>
      <c r="P334" s="194"/>
      <c r="Q334" s="194"/>
      <c r="R334" s="194"/>
      <c r="S334" s="194"/>
      <c r="T334" s="194"/>
      <c r="U334" s="194"/>
      <c r="V334" s="194"/>
      <c r="W334" s="194"/>
      <c r="X334" s="194"/>
      <c r="Y334" s="194"/>
      <c r="Z334" s="194"/>
      <c r="AA334" s="194"/>
      <c r="AB334" s="194"/>
    </row>
    <row r="335" spans="4:28">
      <c r="D335" s="194"/>
      <c r="E335" s="194"/>
      <c r="F335" s="194"/>
      <c r="G335" s="194"/>
      <c r="H335" s="194"/>
      <c r="I335" s="194"/>
      <c r="J335" s="194"/>
      <c r="K335" s="194"/>
      <c r="L335" s="194"/>
      <c r="M335" s="194"/>
      <c r="N335" s="194"/>
      <c r="O335" s="194"/>
      <c r="P335" s="194"/>
      <c r="Q335" s="194"/>
      <c r="R335" s="194"/>
      <c r="S335" s="194"/>
      <c r="T335" s="194"/>
      <c r="U335" s="194"/>
      <c r="V335" s="194"/>
      <c r="W335" s="194"/>
      <c r="X335" s="194"/>
      <c r="Y335" s="194"/>
      <c r="Z335" s="194"/>
      <c r="AA335" s="194"/>
      <c r="AB335" s="194"/>
    </row>
    <row r="336" spans="4:28">
      <c r="D336" s="194"/>
      <c r="E336" s="194"/>
      <c r="F336" s="194"/>
      <c r="G336" s="194"/>
      <c r="H336" s="194"/>
      <c r="I336" s="194"/>
      <c r="J336" s="194"/>
      <c r="K336" s="194"/>
      <c r="L336" s="194"/>
      <c r="M336" s="194"/>
      <c r="N336" s="194"/>
      <c r="O336" s="194"/>
      <c r="P336" s="194"/>
      <c r="Q336" s="194"/>
      <c r="R336" s="194"/>
      <c r="S336" s="194"/>
      <c r="T336" s="194"/>
      <c r="U336" s="194"/>
      <c r="V336" s="194"/>
      <c r="W336" s="194"/>
      <c r="X336" s="194"/>
      <c r="Y336" s="194"/>
      <c r="Z336" s="194"/>
      <c r="AA336" s="194"/>
      <c r="AB336" s="194"/>
    </row>
    <row r="337" spans="4:28">
      <c r="D337" s="194"/>
      <c r="E337" s="194"/>
      <c r="F337" s="194"/>
      <c r="G337" s="194"/>
      <c r="H337" s="194"/>
      <c r="I337" s="194"/>
      <c r="J337" s="194"/>
      <c r="K337" s="194"/>
      <c r="L337" s="194"/>
      <c r="M337" s="194"/>
      <c r="N337" s="194"/>
      <c r="O337" s="194"/>
      <c r="P337" s="194"/>
      <c r="Q337" s="194"/>
      <c r="R337" s="194"/>
      <c r="S337" s="194"/>
      <c r="T337" s="194"/>
      <c r="U337" s="194"/>
      <c r="V337" s="194"/>
      <c r="W337" s="194"/>
      <c r="X337" s="194"/>
      <c r="Y337" s="194"/>
      <c r="Z337" s="194"/>
      <c r="AA337" s="194"/>
      <c r="AB337" s="194"/>
    </row>
    <row r="338" spans="4:28">
      <c r="D338" s="194"/>
      <c r="E338" s="194"/>
      <c r="F338" s="194"/>
      <c r="G338" s="194"/>
      <c r="H338" s="194"/>
      <c r="I338" s="194"/>
      <c r="J338" s="194"/>
      <c r="K338" s="194"/>
      <c r="L338" s="194"/>
      <c r="M338" s="194"/>
      <c r="N338" s="194"/>
      <c r="O338" s="194"/>
      <c r="P338" s="194"/>
      <c r="Q338" s="194"/>
      <c r="R338" s="194"/>
      <c r="S338" s="194"/>
      <c r="T338" s="194"/>
      <c r="U338" s="194"/>
      <c r="V338" s="194"/>
      <c r="W338" s="194"/>
      <c r="X338" s="194"/>
      <c r="Y338" s="194"/>
      <c r="Z338" s="194"/>
      <c r="AA338" s="194"/>
      <c r="AB338" s="194"/>
    </row>
    <row r="339" spans="4:28">
      <c r="D339" s="194"/>
      <c r="E339" s="194"/>
      <c r="F339" s="194"/>
      <c r="G339" s="194"/>
      <c r="H339" s="194"/>
      <c r="I339" s="194"/>
      <c r="J339" s="194"/>
      <c r="K339" s="194"/>
      <c r="L339" s="194"/>
      <c r="M339" s="194"/>
      <c r="N339" s="194"/>
      <c r="O339" s="194"/>
      <c r="P339" s="194"/>
      <c r="Q339" s="194"/>
      <c r="R339" s="194"/>
      <c r="S339" s="194"/>
      <c r="T339" s="194"/>
      <c r="U339" s="194"/>
      <c r="V339" s="194"/>
      <c r="W339" s="194"/>
      <c r="X339" s="194"/>
      <c r="Y339" s="194"/>
      <c r="Z339" s="194"/>
      <c r="AA339" s="194"/>
      <c r="AB339" s="194"/>
    </row>
    <row r="340" spans="4:28">
      <c r="D340" s="194"/>
      <c r="E340" s="194"/>
      <c r="F340" s="194"/>
      <c r="G340" s="194"/>
      <c r="H340" s="194"/>
      <c r="I340" s="194"/>
      <c r="J340" s="194"/>
      <c r="K340" s="194"/>
      <c r="L340" s="194"/>
      <c r="M340" s="194"/>
      <c r="N340" s="194"/>
      <c r="O340" s="194"/>
      <c r="P340" s="194"/>
      <c r="Q340" s="194"/>
      <c r="R340" s="194"/>
      <c r="S340" s="194"/>
      <c r="T340" s="194"/>
      <c r="U340" s="194"/>
      <c r="V340" s="194"/>
      <c r="W340" s="194"/>
      <c r="X340" s="194"/>
      <c r="Y340" s="194"/>
      <c r="Z340" s="194"/>
      <c r="AA340" s="194"/>
      <c r="AB340" s="194"/>
    </row>
    <row r="341" spans="4:28">
      <c r="D341" s="194"/>
      <c r="E341" s="194"/>
      <c r="F341" s="194"/>
      <c r="G341" s="194"/>
      <c r="H341" s="194"/>
      <c r="I341" s="194"/>
      <c r="J341" s="194"/>
      <c r="K341" s="194"/>
      <c r="L341" s="194"/>
      <c r="M341" s="194"/>
      <c r="N341" s="194"/>
      <c r="O341" s="194"/>
      <c r="P341" s="194"/>
      <c r="Q341" s="194"/>
      <c r="R341" s="194"/>
      <c r="S341" s="194"/>
      <c r="T341" s="194"/>
      <c r="U341" s="194"/>
      <c r="V341" s="194"/>
      <c r="W341" s="194"/>
      <c r="X341" s="194"/>
      <c r="Y341" s="194"/>
      <c r="Z341" s="194"/>
      <c r="AA341" s="194"/>
      <c r="AB341" s="194"/>
    </row>
    <row r="342" spans="4:28">
      <c r="D342" s="194"/>
      <c r="E342" s="194"/>
      <c r="F342" s="194"/>
      <c r="G342" s="194"/>
      <c r="H342" s="194"/>
      <c r="I342" s="194"/>
      <c r="J342" s="194"/>
      <c r="K342" s="194"/>
      <c r="L342" s="194"/>
      <c r="M342" s="194"/>
      <c r="N342" s="194"/>
      <c r="O342" s="194"/>
      <c r="P342" s="194"/>
      <c r="Q342" s="194"/>
      <c r="R342" s="194"/>
      <c r="S342" s="194"/>
      <c r="T342" s="194"/>
      <c r="U342" s="194"/>
      <c r="V342" s="194"/>
      <c r="W342" s="194"/>
      <c r="X342" s="194"/>
      <c r="Y342" s="194"/>
      <c r="Z342" s="194"/>
      <c r="AA342" s="194"/>
      <c r="AB342" s="194"/>
    </row>
    <row r="343" spans="4:28">
      <c r="D343" s="194"/>
      <c r="E343" s="194"/>
      <c r="F343" s="194"/>
      <c r="G343" s="194"/>
      <c r="H343" s="194"/>
      <c r="I343" s="194"/>
      <c r="J343" s="194"/>
      <c r="K343" s="194"/>
      <c r="L343" s="194"/>
      <c r="M343" s="194"/>
      <c r="N343" s="194"/>
      <c r="O343" s="194"/>
      <c r="P343" s="194"/>
      <c r="Q343" s="194"/>
      <c r="R343" s="194"/>
      <c r="S343" s="194"/>
      <c r="T343" s="194"/>
      <c r="U343" s="194"/>
      <c r="V343" s="194"/>
      <c r="W343" s="194"/>
      <c r="X343" s="194"/>
      <c r="Y343" s="194"/>
      <c r="Z343" s="194"/>
      <c r="AA343" s="194"/>
      <c r="AB343" s="194"/>
    </row>
    <row r="344" spans="4:28">
      <c r="D344" s="194"/>
      <c r="E344" s="194"/>
      <c r="F344" s="194"/>
      <c r="G344" s="194"/>
      <c r="H344" s="194"/>
      <c r="I344" s="194"/>
      <c r="J344" s="194"/>
      <c r="K344" s="194"/>
      <c r="L344" s="194"/>
      <c r="M344" s="194"/>
      <c r="N344" s="194"/>
      <c r="O344" s="194"/>
      <c r="P344" s="194"/>
      <c r="Q344" s="194"/>
      <c r="R344" s="194"/>
      <c r="S344" s="194"/>
      <c r="T344" s="194"/>
      <c r="U344" s="194"/>
      <c r="V344" s="194"/>
      <c r="W344" s="194"/>
      <c r="X344" s="194"/>
      <c r="Y344" s="194"/>
      <c r="Z344" s="194"/>
      <c r="AA344" s="194"/>
      <c r="AB344" s="194"/>
    </row>
    <row r="345" spans="4:28">
      <c r="D345" s="194"/>
      <c r="E345" s="194"/>
      <c r="F345" s="194"/>
      <c r="G345" s="194"/>
      <c r="H345" s="194"/>
      <c r="I345" s="194"/>
      <c r="J345" s="194"/>
      <c r="K345" s="194"/>
      <c r="L345" s="194"/>
      <c r="M345" s="194"/>
      <c r="N345" s="194"/>
      <c r="O345" s="194"/>
      <c r="P345" s="194"/>
      <c r="Q345" s="194"/>
      <c r="R345" s="194"/>
      <c r="S345" s="194"/>
      <c r="T345" s="194"/>
      <c r="U345" s="194"/>
      <c r="V345" s="194"/>
      <c r="W345" s="194"/>
      <c r="X345" s="194"/>
      <c r="Y345" s="194"/>
      <c r="Z345" s="194"/>
      <c r="AA345" s="194"/>
      <c r="AB345" s="194"/>
    </row>
    <row r="346" spans="4:28">
      <c r="D346" s="194"/>
      <c r="E346" s="194"/>
      <c r="F346" s="194"/>
      <c r="G346" s="194"/>
      <c r="H346" s="194"/>
      <c r="I346" s="194"/>
      <c r="J346" s="194"/>
      <c r="K346" s="194"/>
      <c r="L346" s="194"/>
      <c r="M346" s="194"/>
      <c r="N346" s="194"/>
      <c r="O346" s="194"/>
      <c r="P346" s="194"/>
      <c r="Q346" s="194"/>
      <c r="R346" s="194"/>
      <c r="S346" s="194"/>
      <c r="T346" s="194"/>
      <c r="U346" s="194"/>
      <c r="V346" s="194"/>
      <c r="W346" s="194"/>
      <c r="X346" s="194"/>
      <c r="Y346" s="194"/>
      <c r="Z346" s="194"/>
      <c r="AA346" s="194"/>
      <c r="AB346" s="194"/>
    </row>
    <row r="347" spans="4:28">
      <c r="D347" s="194"/>
      <c r="E347" s="194"/>
      <c r="F347" s="194"/>
      <c r="G347" s="194"/>
      <c r="H347" s="194"/>
      <c r="I347" s="194"/>
      <c r="J347" s="194"/>
      <c r="K347" s="194"/>
      <c r="L347" s="194"/>
      <c r="M347" s="194"/>
      <c r="N347" s="194"/>
      <c r="O347" s="194"/>
      <c r="P347" s="194"/>
      <c r="Q347" s="194"/>
      <c r="R347" s="194"/>
      <c r="S347" s="194"/>
      <c r="T347" s="194"/>
      <c r="U347" s="194"/>
      <c r="V347" s="194"/>
      <c r="W347" s="194"/>
      <c r="X347" s="194"/>
      <c r="Y347" s="194"/>
      <c r="Z347" s="194"/>
      <c r="AA347" s="194"/>
      <c r="AB347" s="194"/>
    </row>
    <row r="348" spans="4:28">
      <c r="D348" s="194"/>
      <c r="E348" s="194"/>
      <c r="F348" s="194"/>
      <c r="G348" s="194"/>
      <c r="H348" s="194"/>
      <c r="I348" s="194"/>
      <c r="J348" s="194"/>
      <c r="K348" s="194"/>
      <c r="L348" s="194"/>
      <c r="M348" s="194"/>
      <c r="N348" s="194"/>
      <c r="O348" s="194"/>
      <c r="P348" s="194"/>
      <c r="Q348" s="194"/>
      <c r="R348" s="194"/>
      <c r="S348" s="194"/>
      <c r="T348" s="194"/>
      <c r="U348" s="194"/>
      <c r="V348" s="194"/>
      <c r="W348" s="194"/>
      <c r="X348" s="194"/>
      <c r="Y348" s="194"/>
      <c r="Z348" s="194"/>
      <c r="AA348" s="194"/>
      <c r="AB348" s="194"/>
    </row>
    <row r="349" spans="4:28">
      <c r="D349" s="194"/>
      <c r="E349" s="194"/>
      <c r="F349" s="194"/>
      <c r="G349" s="194"/>
      <c r="H349" s="194"/>
      <c r="I349" s="194"/>
      <c r="J349" s="194"/>
      <c r="K349" s="194"/>
      <c r="L349" s="194"/>
      <c r="M349" s="194"/>
      <c r="N349" s="194"/>
      <c r="O349" s="194"/>
      <c r="P349" s="194"/>
      <c r="Q349" s="194"/>
      <c r="R349" s="194"/>
      <c r="S349" s="194"/>
      <c r="T349" s="194"/>
      <c r="U349" s="194"/>
      <c r="V349" s="194"/>
      <c r="W349" s="194"/>
      <c r="X349" s="194"/>
      <c r="Y349" s="194"/>
      <c r="Z349" s="194"/>
      <c r="AA349" s="194"/>
      <c r="AB349" s="194"/>
    </row>
    <row r="350" spans="4:28">
      <c r="D350" s="194"/>
      <c r="E350" s="194"/>
      <c r="F350" s="194"/>
      <c r="G350" s="194"/>
      <c r="H350" s="194"/>
      <c r="I350" s="194"/>
      <c r="J350" s="194"/>
      <c r="K350" s="194"/>
      <c r="L350" s="194"/>
      <c r="M350" s="194"/>
      <c r="N350" s="194"/>
      <c r="O350" s="194"/>
      <c r="P350" s="194"/>
      <c r="Q350" s="194"/>
      <c r="R350" s="194"/>
      <c r="S350" s="194"/>
      <c r="T350" s="194"/>
      <c r="U350" s="194"/>
      <c r="V350" s="194"/>
      <c r="W350" s="194"/>
      <c r="X350" s="194"/>
      <c r="Y350" s="194"/>
      <c r="Z350" s="194"/>
      <c r="AA350" s="194"/>
      <c r="AB350" s="194"/>
    </row>
    <row r="351" spans="4:28">
      <c r="D351" s="194"/>
      <c r="E351" s="194"/>
      <c r="F351" s="194"/>
      <c r="G351" s="194"/>
      <c r="H351" s="194"/>
      <c r="I351" s="194"/>
      <c r="J351" s="194"/>
      <c r="K351" s="194"/>
      <c r="L351" s="194"/>
      <c r="M351" s="194"/>
      <c r="N351" s="194"/>
      <c r="O351" s="194"/>
      <c r="P351" s="194"/>
      <c r="Q351" s="194"/>
      <c r="R351" s="194"/>
      <c r="S351" s="194"/>
      <c r="T351" s="194"/>
      <c r="U351" s="194"/>
      <c r="V351" s="194"/>
      <c r="W351" s="194"/>
      <c r="X351" s="194"/>
      <c r="Y351" s="194"/>
      <c r="Z351" s="194"/>
      <c r="AA351" s="194"/>
      <c r="AB351" s="194"/>
    </row>
    <row r="352" spans="4:28">
      <c r="D352" s="194"/>
      <c r="E352" s="194"/>
      <c r="F352" s="194"/>
      <c r="G352" s="194"/>
      <c r="H352" s="194"/>
      <c r="I352" s="194"/>
      <c r="J352" s="194"/>
      <c r="K352" s="194"/>
      <c r="L352" s="194"/>
      <c r="M352" s="194"/>
      <c r="N352" s="194"/>
      <c r="O352" s="194"/>
      <c r="P352" s="194"/>
      <c r="Q352" s="194"/>
      <c r="R352" s="194"/>
      <c r="S352" s="194"/>
      <c r="T352" s="194"/>
      <c r="U352" s="194"/>
      <c r="V352" s="194"/>
      <c r="W352" s="194"/>
      <c r="X352" s="194"/>
      <c r="Y352" s="194"/>
      <c r="Z352" s="194"/>
      <c r="AA352" s="194"/>
      <c r="AB352" s="194"/>
    </row>
    <row r="353" spans="4:28">
      <c r="D353" s="194"/>
      <c r="E353" s="194"/>
      <c r="F353" s="194"/>
      <c r="G353" s="194"/>
      <c r="H353" s="194"/>
      <c r="I353" s="194"/>
      <c r="J353" s="194"/>
      <c r="K353" s="194"/>
      <c r="L353" s="194"/>
      <c r="M353" s="194"/>
      <c r="N353" s="194"/>
      <c r="O353" s="194"/>
      <c r="P353" s="194"/>
      <c r="Q353" s="194"/>
      <c r="R353" s="194"/>
      <c r="S353" s="194"/>
      <c r="T353" s="194"/>
      <c r="U353" s="194"/>
      <c r="V353" s="194"/>
      <c r="W353" s="194"/>
      <c r="X353" s="194"/>
      <c r="Y353" s="194"/>
      <c r="Z353" s="194"/>
      <c r="AA353" s="194"/>
      <c r="AB353" s="194"/>
    </row>
    <row r="354" spans="4:28">
      <c r="D354" s="194"/>
      <c r="E354" s="194"/>
      <c r="F354" s="194"/>
      <c r="G354" s="194"/>
      <c r="H354" s="194"/>
      <c r="I354" s="194"/>
      <c r="J354" s="194"/>
      <c r="K354" s="194"/>
      <c r="L354" s="194"/>
      <c r="M354" s="194"/>
      <c r="N354" s="194"/>
      <c r="O354" s="194"/>
      <c r="P354" s="194"/>
      <c r="Q354" s="194"/>
      <c r="R354" s="194"/>
      <c r="S354" s="194"/>
      <c r="T354" s="194"/>
      <c r="U354" s="194"/>
      <c r="V354" s="194"/>
      <c r="W354" s="194"/>
      <c r="X354" s="194"/>
      <c r="Y354" s="194"/>
      <c r="Z354" s="194"/>
      <c r="AA354" s="194"/>
      <c r="AB354" s="194"/>
    </row>
    <row r="355" spans="4:28">
      <c r="D355" s="194"/>
      <c r="E355" s="194"/>
      <c r="F355" s="194"/>
      <c r="G355" s="194"/>
      <c r="H355" s="194"/>
      <c r="I355" s="194"/>
      <c r="J355" s="194"/>
      <c r="K355" s="194"/>
      <c r="L355" s="194"/>
      <c r="M355" s="194"/>
      <c r="N355" s="194"/>
      <c r="O355" s="194"/>
      <c r="P355" s="194"/>
      <c r="Q355" s="194"/>
      <c r="R355" s="194"/>
      <c r="S355" s="194"/>
      <c r="T355" s="194"/>
      <c r="U355" s="194"/>
      <c r="V355" s="194"/>
      <c r="W355" s="194"/>
      <c r="X355" s="194"/>
      <c r="Y355" s="194"/>
      <c r="Z355" s="194"/>
      <c r="AA355" s="194"/>
      <c r="AB355" s="194"/>
    </row>
    <row r="356" spans="4:28">
      <c r="D356" s="194"/>
      <c r="E356" s="194"/>
      <c r="F356" s="194"/>
      <c r="G356" s="194"/>
      <c r="H356" s="194"/>
      <c r="I356" s="194"/>
      <c r="J356" s="194"/>
      <c r="K356" s="194"/>
      <c r="L356" s="194"/>
      <c r="M356" s="194"/>
      <c r="N356" s="194"/>
      <c r="O356" s="194"/>
      <c r="P356" s="194"/>
      <c r="Q356" s="194"/>
      <c r="R356" s="194"/>
      <c r="S356" s="194"/>
      <c r="T356" s="194"/>
      <c r="U356" s="194"/>
      <c r="V356" s="194"/>
      <c r="W356" s="194"/>
      <c r="X356" s="194"/>
      <c r="Y356" s="194"/>
      <c r="Z356" s="194"/>
      <c r="AA356" s="194"/>
      <c r="AB356" s="194"/>
    </row>
    <row r="357" spans="4:28">
      <c r="D357" s="194"/>
      <c r="E357" s="194"/>
      <c r="F357" s="194"/>
      <c r="G357" s="194"/>
      <c r="H357" s="194"/>
      <c r="I357" s="194"/>
      <c r="J357" s="194"/>
      <c r="K357" s="194"/>
      <c r="L357" s="194"/>
      <c r="M357" s="194"/>
      <c r="N357" s="194"/>
      <c r="O357" s="194"/>
      <c r="P357" s="194"/>
      <c r="Q357" s="194"/>
      <c r="R357" s="194"/>
      <c r="S357" s="194"/>
      <c r="T357" s="194"/>
      <c r="U357" s="194"/>
      <c r="V357" s="194"/>
      <c r="W357" s="194"/>
      <c r="X357" s="194"/>
      <c r="Y357" s="194"/>
      <c r="Z357" s="194"/>
      <c r="AA357" s="194"/>
      <c r="AB357" s="194"/>
    </row>
    <row r="358" spans="4:28">
      <c r="D358" s="194"/>
      <c r="E358" s="194"/>
      <c r="F358" s="194"/>
      <c r="G358" s="194"/>
      <c r="H358" s="194"/>
      <c r="I358" s="194"/>
      <c r="J358" s="194"/>
      <c r="K358" s="194"/>
      <c r="L358" s="194"/>
      <c r="M358" s="194"/>
      <c r="N358" s="194"/>
      <c r="O358" s="194"/>
      <c r="P358" s="194"/>
      <c r="Q358" s="194"/>
      <c r="R358" s="194"/>
      <c r="S358" s="194"/>
      <c r="T358" s="194"/>
      <c r="U358" s="194"/>
      <c r="V358" s="194"/>
      <c r="W358" s="194"/>
      <c r="X358" s="194"/>
      <c r="Y358" s="194"/>
      <c r="Z358" s="194"/>
      <c r="AA358" s="194"/>
      <c r="AB358" s="194"/>
    </row>
    <row r="359" spans="4:28">
      <c r="D359" s="194"/>
      <c r="E359" s="194"/>
      <c r="F359" s="194"/>
      <c r="G359" s="194"/>
      <c r="H359" s="194"/>
      <c r="I359" s="194"/>
      <c r="J359" s="194"/>
      <c r="K359" s="194"/>
      <c r="L359" s="194"/>
      <c r="M359" s="194"/>
      <c r="N359" s="194"/>
      <c r="O359" s="194"/>
      <c r="P359" s="194"/>
      <c r="Q359" s="194"/>
      <c r="R359" s="194"/>
      <c r="S359" s="194"/>
      <c r="T359" s="194"/>
      <c r="U359" s="194"/>
      <c r="V359" s="194"/>
      <c r="W359" s="194"/>
      <c r="X359" s="194"/>
      <c r="Y359" s="194"/>
      <c r="Z359" s="194"/>
      <c r="AA359" s="194"/>
      <c r="AB359" s="194"/>
    </row>
    <row r="360" spans="4:28">
      <c r="D360" s="194"/>
      <c r="E360" s="194"/>
      <c r="F360" s="194"/>
      <c r="G360" s="194"/>
      <c r="H360" s="194"/>
      <c r="I360" s="194"/>
      <c r="J360" s="194"/>
      <c r="K360" s="194"/>
      <c r="L360" s="194"/>
      <c r="M360" s="194"/>
      <c r="N360" s="194"/>
      <c r="O360" s="194"/>
      <c r="P360" s="194"/>
      <c r="Q360" s="194"/>
      <c r="R360" s="194"/>
      <c r="S360" s="194"/>
      <c r="T360" s="194"/>
      <c r="U360" s="194"/>
      <c r="V360" s="194"/>
      <c r="W360" s="194"/>
      <c r="X360" s="194"/>
      <c r="Y360" s="194"/>
      <c r="Z360" s="194"/>
      <c r="AA360" s="194"/>
      <c r="AB360" s="194"/>
    </row>
    <row r="361" spans="4:28">
      <c r="D361" s="194"/>
      <c r="E361" s="194"/>
      <c r="F361" s="194"/>
      <c r="G361" s="194"/>
      <c r="H361" s="194"/>
      <c r="I361" s="194"/>
      <c r="J361" s="194"/>
      <c r="K361" s="194"/>
      <c r="L361" s="194"/>
      <c r="M361" s="194"/>
      <c r="N361" s="194"/>
      <c r="O361" s="194"/>
      <c r="P361" s="194"/>
      <c r="Q361" s="194"/>
      <c r="R361" s="194"/>
      <c r="S361" s="194"/>
      <c r="T361" s="194"/>
      <c r="U361" s="194"/>
      <c r="V361" s="194"/>
      <c r="W361" s="194"/>
      <c r="X361" s="194"/>
      <c r="Y361" s="194"/>
      <c r="Z361" s="194"/>
      <c r="AA361" s="194"/>
      <c r="AB361" s="194"/>
    </row>
    <row r="362" spans="4:28">
      <c r="D362" s="194"/>
      <c r="E362" s="194"/>
      <c r="F362" s="194"/>
      <c r="G362" s="194"/>
      <c r="H362" s="194"/>
      <c r="I362" s="194"/>
      <c r="J362" s="194"/>
      <c r="K362" s="194"/>
      <c r="L362" s="194"/>
      <c r="M362" s="194"/>
      <c r="N362" s="194"/>
      <c r="O362" s="194"/>
      <c r="P362" s="194"/>
      <c r="Q362" s="194"/>
      <c r="R362" s="194"/>
      <c r="S362" s="194"/>
      <c r="T362" s="194"/>
      <c r="U362" s="194"/>
      <c r="V362" s="194"/>
      <c r="W362" s="194"/>
      <c r="X362" s="194"/>
      <c r="Y362" s="194"/>
      <c r="Z362" s="194"/>
      <c r="AA362" s="194"/>
      <c r="AB362" s="194"/>
    </row>
    <row r="363" spans="4:28">
      <c r="D363" s="194"/>
      <c r="E363" s="194"/>
      <c r="F363" s="194"/>
      <c r="G363" s="194"/>
      <c r="H363" s="194"/>
      <c r="I363" s="194"/>
      <c r="J363" s="194"/>
      <c r="K363" s="194"/>
      <c r="L363" s="194"/>
      <c r="M363" s="194"/>
      <c r="N363" s="194"/>
      <c r="O363" s="194"/>
      <c r="P363" s="194"/>
      <c r="Q363" s="194"/>
      <c r="R363" s="194"/>
      <c r="S363" s="194"/>
      <c r="T363" s="194"/>
      <c r="U363" s="194"/>
      <c r="V363" s="194"/>
      <c r="W363" s="194"/>
      <c r="X363" s="194"/>
      <c r="Y363" s="194"/>
      <c r="Z363" s="194"/>
      <c r="AA363" s="194"/>
      <c r="AB363" s="194"/>
    </row>
    <row r="364" spans="4:28">
      <c r="D364" s="194"/>
      <c r="E364" s="194"/>
      <c r="F364" s="194"/>
      <c r="G364" s="194"/>
      <c r="H364" s="194"/>
      <c r="I364" s="194"/>
      <c r="J364" s="194"/>
      <c r="K364" s="194"/>
      <c r="L364" s="194"/>
      <c r="M364" s="194"/>
      <c r="N364" s="194"/>
      <c r="O364" s="194"/>
      <c r="P364" s="194"/>
      <c r="Q364" s="194"/>
      <c r="R364" s="194"/>
      <c r="S364" s="194"/>
      <c r="T364" s="194"/>
      <c r="U364" s="194"/>
      <c r="V364" s="194"/>
      <c r="W364" s="194"/>
      <c r="X364" s="194"/>
      <c r="Y364" s="194"/>
      <c r="Z364" s="194"/>
      <c r="AA364" s="194"/>
      <c r="AB364" s="194"/>
    </row>
    <row r="365" spans="4:28">
      <c r="D365" s="194"/>
      <c r="E365" s="194"/>
      <c r="F365" s="194"/>
      <c r="G365" s="194"/>
      <c r="H365" s="194"/>
      <c r="I365" s="194"/>
      <c r="J365" s="194"/>
      <c r="K365" s="194"/>
      <c r="L365" s="194"/>
      <c r="M365" s="194"/>
      <c r="N365" s="194"/>
      <c r="O365" s="194"/>
      <c r="P365" s="194"/>
      <c r="Q365" s="194"/>
      <c r="R365" s="194"/>
      <c r="S365" s="194"/>
      <c r="T365" s="194"/>
      <c r="U365" s="194"/>
      <c r="V365" s="194"/>
      <c r="W365" s="194"/>
      <c r="X365" s="194"/>
      <c r="Y365" s="194"/>
      <c r="Z365" s="194"/>
      <c r="AA365" s="194"/>
      <c r="AB365" s="194"/>
    </row>
    <row r="366" spans="4:28">
      <c r="D366" s="194"/>
      <c r="E366" s="194"/>
      <c r="F366" s="194"/>
      <c r="G366" s="194"/>
      <c r="H366" s="194"/>
      <c r="I366" s="194"/>
      <c r="J366" s="194"/>
      <c r="K366" s="194"/>
      <c r="L366" s="194"/>
      <c r="M366" s="194"/>
      <c r="N366" s="194"/>
      <c r="O366" s="194"/>
      <c r="P366" s="194"/>
      <c r="Q366" s="194"/>
      <c r="R366" s="194"/>
      <c r="S366" s="194"/>
      <c r="T366" s="194"/>
      <c r="U366" s="194"/>
      <c r="V366" s="194"/>
      <c r="W366" s="194"/>
      <c r="X366" s="194"/>
      <c r="Y366" s="194"/>
      <c r="Z366" s="194"/>
      <c r="AA366" s="194"/>
      <c r="AB366" s="194"/>
    </row>
    <row r="367" spans="4:28">
      <c r="D367" s="194"/>
      <c r="E367" s="194"/>
      <c r="F367" s="194"/>
      <c r="G367" s="194"/>
      <c r="H367" s="194"/>
      <c r="I367" s="194"/>
      <c r="J367" s="194"/>
      <c r="K367" s="194"/>
      <c r="L367" s="194"/>
      <c r="M367" s="194"/>
      <c r="N367" s="194"/>
      <c r="O367" s="194"/>
      <c r="P367" s="194"/>
      <c r="Q367" s="194"/>
      <c r="R367" s="194"/>
      <c r="S367" s="194"/>
      <c r="T367" s="194"/>
      <c r="U367" s="194"/>
      <c r="V367" s="194"/>
      <c r="W367" s="194"/>
      <c r="X367" s="194"/>
      <c r="Y367" s="194"/>
      <c r="Z367" s="194"/>
      <c r="AA367" s="194"/>
      <c r="AB367" s="194"/>
    </row>
    <row r="368" spans="4:28">
      <c r="D368" s="194"/>
      <c r="E368" s="194"/>
      <c r="F368" s="194"/>
      <c r="G368" s="194"/>
      <c r="H368" s="194"/>
      <c r="I368" s="194"/>
      <c r="J368" s="194"/>
      <c r="K368" s="194"/>
      <c r="L368" s="194"/>
      <c r="M368" s="194"/>
      <c r="N368" s="194"/>
      <c r="O368" s="194"/>
      <c r="P368" s="194"/>
      <c r="Q368" s="194"/>
      <c r="R368" s="194"/>
      <c r="S368" s="194"/>
      <c r="T368" s="194"/>
      <c r="U368" s="194"/>
      <c r="V368" s="194"/>
      <c r="W368" s="194"/>
      <c r="X368" s="194"/>
      <c r="Y368" s="194"/>
      <c r="Z368" s="194"/>
      <c r="AA368" s="194"/>
      <c r="AB368" s="194"/>
    </row>
    <row r="369" spans="4:28">
      <c r="D369" s="194"/>
      <c r="E369" s="194"/>
      <c r="F369" s="194"/>
      <c r="G369" s="194"/>
      <c r="H369" s="194"/>
      <c r="I369" s="194"/>
      <c r="J369" s="194"/>
      <c r="K369" s="194"/>
      <c r="L369" s="194"/>
      <c r="M369" s="194"/>
      <c r="N369" s="194"/>
      <c r="O369" s="194"/>
      <c r="P369" s="194"/>
      <c r="Q369" s="194"/>
      <c r="R369" s="194"/>
      <c r="S369" s="194"/>
      <c r="T369" s="194"/>
      <c r="U369" s="194"/>
      <c r="V369" s="194"/>
      <c r="W369" s="194"/>
      <c r="X369" s="194"/>
      <c r="Y369" s="194"/>
      <c r="Z369" s="194"/>
      <c r="AA369" s="194"/>
      <c r="AB369" s="194"/>
    </row>
    <row r="370" spans="4:28">
      <c r="D370" s="194"/>
      <c r="E370" s="194"/>
      <c r="F370" s="194"/>
      <c r="G370" s="194"/>
      <c r="H370" s="194"/>
      <c r="I370" s="194"/>
      <c r="J370" s="194"/>
      <c r="K370" s="194"/>
      <c r="L370" s="194"/>
      <c r="M370" s="194"/>
      <c r="N370" s="194"/>
      <c r="O370" s="194"/>
      <c r="P370" s="194"/>
      <c r="Q370" s="194"/>
      <c r="R370" s="194"/>
      <c r="S370" s="194"/>
      <c r="T370" s="194"/>
      <c r="U370" s="194"/>
      <c r="V370" s="194"/>
      <c r="W370" s="194"/>
      <c r="X370" s="194"/>
      <c r="Y370" s="194"/>
      <c r="Z370" s="194"/>
      <c r="AA370" s="194"/>
      <c r="AB370" s="194"/>
    </row>
    <row r="371" spans="4:28">
      <c r="D371" s="194"/>
      <c r="E371" s="194"/>
      <c r="F371" s="194"/>
      <c r="G371" s="194"/>
      <c r="H371" s="194"/>
      <c r="I371" s="194"/>
      <c r="J371" s="194"/>
      <c r="K371" s="194"/>
      <c r="L371" s="194"/>
      <c r="M371" s="194"/>
      <c r="N371" s="194"/>
      <c r="O371" s="194"/>
      <c r="P371" s="194"/>
      <c r="Q371" s="194"/>
      <c r="R371" s="194"/>
      <c r="S371" s="194"/>
      <c r="T371" s="194"/>
      <c r="U371" s="194"/>
      <c r="V371" s="194"/>
      <c r="W371" s="194"/>
      <c r="X371" s="194"/>
      <c r="Y371" s="194"/>
      <c r="Z371" s="194"/>
      <c r="AA371" s="194"/>
      <c r="AB371" s="194"/>
    </row>
    <row r="372" spans="4:28">
      <c r="D372" s="194"/>
      <c r="E372" s="194"/>
      <c r="F372" s="194"/>
      <c r="G372" s="194"/>
      <c r="H372" s="194"/>
      <c r="I372" s="194"/>
      <c r="J372" s="194"/>
      <c r="K372" s="194"/>
      <c r="L372" s="194"/>
      <c r="M372" s="194"/>
      <c r="N372" s="194"/>
      <c r="O372" s="194"/>
      <c r="P372" s="194"/>
      <c r="Q372" s="194"/>
      <c r="R372" s="194"/>
      <c r="S372" s="194"/>
      <c r="T372" s="194"/>
      <c r="U372" s="194"/>
      <c r="V372" s="194"/>
      <c r="W372" s="194"/>
      <c r="X372" s="194"/>
      <c r="Y372" s="194"/>
      <c r="Z372" s="194"/>
      <c r="AA372" s="194"/>
      <c r="AB372" s="194"/>
    </row>
    <row r="373" spans="4:28">
      <c r="D373" s="194"/>
      <c r="E373" s="194"/>
      <c r="F373" s="194"/>
      <c r="G373" s="194"/>
      <c r="H373" s="194"/>
      <c r="I373" s="194"/>
      <c r="J373" s="194"/>
      <c r="K373" s="194"/>
      <c r="L373" s="194"/>
      <c r="M373" s="194"/>
      <c r="N373" s="194"/>
      <c r="O373" s="194"/>
      <c r="P373" s="194"/>
      <c r="Q373" s="194"/>
      <c r="R373" s="194"/>
      <c r="S373" s="194"/>
      <c r="T373" s="194"/>
      <c r="U373" s="194"/>
      <c r="V373" s="194"/>
      <c r="W373" s="194"/>
      <c r="X373" s="194"/>
      <c r="Y373" s="194"/>
      <c r="Z373" s="194"/>
      <c r="AA373" s="194"/>
      <c r="AB373" s="194"/>
    </row>
    <row r="374" spans="4:28">
      <c r="D374" s="194"/>
      <c r="E374" s="194"/>
      <c r="F374" s="194"/>
      <c r="G374" s="194"/>
      <c r="H374" s="194"/>
      <c r="I374" s="194"/>
      <c r="J374" s="194"/>
      <c r="K374" s="194"/>
      <c r="L374" s="194"/>
      <c r="M374" s="194"/>
      <c r="N374" s="194"/>
      <c r="O374" s="194"/>
      <c r="P374" s="194"/>
      <c r="Q374" s="194"/>
      <c r="R374" s="194"/>
      <c r="S374" s="194"/>
      <c r="T374" s="194"/>
      <c r="U374" s="194"/>
      <c r="V374" s="194"/>
      <c r="W374" s="194"/>
      <c r="X374" s="194"/>
      <c r="Y374" s="194"/>
      <c r="Z374" s="194"/>
      <c r="AA374" s="194"/>
      <c r="AB374" s="194"/>
    </row>
    <row r="375" spans="4:28">
      <c r="D375" s="194"/>
      <c r="E375" s="194"/>
      <c r="F375" s="194"/>
      <c r="G375" s="194"/>
      <c r="H375" s="194"/>
      <c r="I375" s="194"/>
      <c r="J375" s="194"/>
      <c r="K375" s="194"/>
      <c r="L375" s="194"/>
      <c r="M375" s="194"/>
      <c r="N375" s="19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4"/>
      <c r="AA375" s="194"/>
      <c r="AB375" s="194"/>
    </row>
    <row r="376" spans="4:28">
      <c r="D376" s="194"/>
      <c r="E376" s="194"/>
      <c r="F376" s="194"/>
      <c r="G376" s="194"/>
      <c r="H376" s="194"/>
      <c r="I376" s="194"/>
      <c r="J376" s="194"/>
      <c r="K376" s="194"/>
      <c r="L376" s="194"/>
      <c r="M376" s="194"/>
      <c r="N376" s="194"/>
      <c r="O376" s="194"/>
      <c r="P376" s="194"/>
      <c r="Q376" s="194"/>
      <c r="R376" s="194"/>
      <c r="S376" s="194"/>
      <c r="T376" s="194"/>
      <c r="U376" s="194"/>
      <c r="V376" s="194"/>
      <c r="W376" s="194"/>
      <c r="X376" s="194"/>
      <c r="Y376" s="194"/>
      <c r="Z376" s="194"/>
      <c r="AA376" s="194"/>
      <c r="AB376" s="194"/>
    </row>
    <row r="377" spans="4:28">
      <c r="D377" s="194"/>
      <c r="E377" s="194"/>
      <c r="F377" s="194"/>
      <c r="G377" s="194"/>
      <c r="H377" s="194"/>
      <c r="I377" s="194"/>
      <c r="J377" s="194"/>
      <c r="K377" s="194"/>
      <c r="L377" s="194"/>
      <c r="M377" s="194"/>
      <c r="N377" s="194"/>
      <c r="O377" s="194"/>
      <c r="P377" s="194"/>
      <c r="Q377" s="194"/>
      <c r="R377" s="194"/>
      <c r="S377" s="194"/>
      <c r="T377" s="194"/>
      <c r="U377" s="194"/>
      <c r="V377" s="194"/>
      <c r="W377" s="194"/>
      <c r="X377" s="194"/>
      <c r="Y377" s="194"/>
      <c r="Z377" s="194"/>
      <c r="AA377" s="194"/>
      <c r="AB377" s="194"/>
    </row>
    <row r="378" spans="4:28">
      <c r="D378" s="194"/>
      <c r="E378" s="194"/>
      <c r="F378" s="194"/>
      <c r="G378" s="194"/>
      <c r="H378" s="194"/>
      <c r="I378" s="194"/>
      <c r="J378" s="194"/>
      <c r="K378" s="194"/>
      <c r="L378" s="194"/>
      <c r="M378" s="194"/>
      <c r="N378" s="194"/>
      <c r="O378" s="194"/>
      <c r="P378" s="194"/>
      <c r="Q378" s="194"/>
      <c r="R378" s="194"/>
      <c r="S378" s="194"/>
      <c r="T378" s="194"/>
      <c r="U378" s="194"/>
      <c r="V378" s="194"/>
      <c r="W378" s="194"/>
      <c r="X378" s="194"/>
      <c r="Y378" s="194"/>
      <c r="Z378" s="194"/>
      <c r="AA378" s="194"/>
      <c r="AB378" s="194"/>
    </row>
    <row r="379" spans="4:28">
      <c r="D379" s="194"/>
      <c r="E379" s="194"/>
      <c r="F379" s="194"/>
      <c r="G379" s="194"/>
      <c r="H379" s="194"/>
      <c r="I379" s="194"/>
      <c r="J379" s="194"/>
      <c r="K379" s="194"/>
      <c r="L379" s="194"/>
      <c r="M379" s="194"/>
      <c r="N379" s="194"/>
      <c r="O379" s="194"/>
      <c r="P379" s="194"/>
      <c r="Q379" s="194"/>
      <c r="R379" s="194"/>
      <c r="S379" s="194"/>
      <c r="T379" s="194"/>
      <c r="U379" s="194"/>
      <c r="V379" s="194"/>
      <c r="W379" s="194"/>
      <c r="X379" s="194"/>
      <c r="Y379" s="194"/>
      <c r="Z379" s="194"/>
      <c r="AA379" s="194"/>
      <c r="AB379" s="194"/>
    </row>
    <row r="380" spans="4:28">
      <c r="D380" s="194"/>
      <c r="E380" s="194"/>
      <c r="F380" s="194"/>
      <c r="G380" s="194"/>
      <c r="H380" s="194"/>
      <c r="I380" s="194"/>
      <c r="J380" s="194"/>
      <c r="K380" s="194"/>
      <c r="L380" s="194"/>
      <c r="M380" s="194"/>
      <c r="N380" s="194"/>
      <c r="O380" s="194"/>
      <c r="P380" s="194"/>
      <c r="Q380" s="194"/>
      <c r="R380" s="194"/>
      <c r="S380" s="194"/>
      <c r="T380" s="194"/>
      <c r="U380" s="194"/>
      <c r="V380" s="194"/>
      <c r="W380" s="194"/>
      <c r="X380" s="194"/>
      <c r="Y380" s="194"/>
      <c r="Z380" s="194"/>
      <c r="AA380" s="194"/>
      <c r="AB380" s="194"/>
    </row>
    <row r="381" spans="4:28">
      <c r="D381" s="194"/>
      <c r="E381" s="194"/>
      <c r="F381" s="194"/>
      <c r="G381" s="194"/>
      <c r="H381" s="194"/>
      <c r="I381" s="194"/>
      <c r="J381" s="194"/>
      <c r="K381" s="194"/>
      <c r="L381" s="194"/>
      <c r="M381" s="194"/>
      <c r="N381" s="194"/>
      <c r="O381" s="194"/>
      <c r="P381" s="194"/>
      <c r="Q381" s="194"/>
      <c r="R381" s="194"/>
      <c r="S381" s="194"/>
      <c r="T381" s="194"/>
      <c r="U381" s="194"/>
      <c r="V381" s="194"/>
      <c r="W381" s="194"/>
      <c r="X381" s="194"/>
      <c r="Y381" s="194"/>
      <c r="Z381" s="194"/>
      <c r="AA381" s="194"/>
      <c r="AB381" s="194"/>
    </row>
    <row r="382" spans="4:28">
      <c r="D382" s="194"/>
      <c r="E382" s="194"/>
      <c r="F382" s="194"/>
      <c r="G382" s="194"/>
      <c r="H382" s="194"/>
      <c r="I382" s="194"/>
      <c r="J382" s="194"/>
      <c r="K382" s="194"/>
      <c r="L382" s="194"/>
      <c r="M382" s="194"/>
      <c r="N382" s="194"/>
      <c r="O382" s="194"/>
      <c r="P382" s="194"/>
      <c r="Q382" s="194"/>
      <c r="R382" s="194"/>
      <c r="S382" s="194"/>
      <c r="T382" s="194"/>
      <c r="U382" s="194"/>
      <c r="V382" s="194"/>
      <c r="W382" s="194"/>
      <c r="X382" s="194"/>
      <c r="Y382" s="194"/>
      <c r="Z382" s="194"/>
      <c r="AA382" s="194"/>
      <c r="AB382" s="194"/>
    </row>
    <row r="383" spans="4:28">
      <c r="D383" s="194"/>
      <c r="E383" s="194"/>
      <c r="F383" s="194"/>
      <c r="G383" s="194"/>
      <c r="H383" s="194"/>
      <c r="I383" s="194"/>
      <c r="J383" s="194"/>
      <c r="K383" s="194"/>
      <c r="L383" s="194"/>
      <c r="M383" s="194"/>
      <c r="N383" s="194"/>
      <c r="O383" s="194"/>
      <c r="P383" s="194"/>
      <c r="Q383" s="194"/>
      <c r="R383" s="194"/>
      <c r="S383" s="194"/>
      <c r="T383" s="194"/>
      <c r="U383" s="194"/>
      <c r="V383" s="194"/>
      <c r="W383" s="194"/>
      <c r="X383" s="194"/>
      <c r="Y383" s="194"/>
      <c r="Z383" s="194"/>
      <c r="AA383" s="194"/>
      <c r="AB383" s="194"/>
    </row>
    <row r="384" spans="4:28">
      <c r="D384" s="194"/>
      <c r="E384" s="194"/>
      <c r="F384" s="194"/>
      <c r="G384" s="194"/>
      <c r="H384" s="194"/>
      <c r="I384" s="194"/>
      <c r="J384" s="194"/>
      <c r="K384" s="194"/>
      <c r="L384" s="194"/>
      <c r="M384" s="194"/>
      <c r="N384" s="194"/>
      <c r="O384" s="194"/>
      <c r="P384" s="194"/>
      <c r="Q384" s="194"/>
      <c r="R384" s="194"/>
      <c r="S384" s="194"/>
      <c r="T384" s="194"/>
      <c r="U384" s="194"/>
      <c r="V384" s="194"/>
      <c r="W384" s="194"/>
      <c r="X384" s="194"/>
      <c r="Y384" s="194"/>
      <c r="Z384" s="194"/>
      <c r="AA384" s="194"/>
      <c r="AB384" s="194"/>
    </row>
    <row r="385" spans="4:28">
      <c r="D385" s="194"/>
      <c r="E385" s="194"/>
      <c r="F385" s="194"/>
      <c r="G385" s="194"/>
      <c r="H385" s="194"/>
      <c r="I385" s="194"/>
      <c r="J385" s="194"/>
      <c r="K385" s="194"/>
      <c r="L385" s="194"/>
      <c r="M385" s="194"/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  <c r="Z385" s="194"/>
      <c r="AA385" s="194"/>
      <c r="AB385" s="194"/>
    </row>
    <row r="386" spans="4:28">
      <c r="D386" s="194"/>
      <c r="E386" s="194"/>
      <c r="F386" s="194"/>
      <c r="G386" s="194"/>
      <c r="H386" s="194"/>
      <c r="I386" s="194"/>
      <c r="J386" s="194"/>
      <c r="K386" s="194"/>
      <c r="L386" s="194"/>
      <c r="M386" s="194"/>
      <c r="N386" s="194"/>
      <c r="O386" s="194"/>
      <c r="P386" s="194"/>
      <c r="Q386" s="194"/>
      <c r="R386" s="194"/>
      <c r="S386" s="194"/>
      <c r="T386" s="194"/>
      <c r="U386" s="194"/>
      <c r="V386" s="194"/>
      <c r="W386" s="194"/>
      <c r="X386" s="194"/>
      <c r="Y386" s="194"/>
      <c r="Z386" s="194"/>
      <c r="AA386" s="194"/>
      <c r="AB386" s="194"/>
    </row>
    <row r="387" spans="4:28">
      <c r="D387" s="194"/>
      <c r="E387" s="194"/>
      <c r="F387" s="194"/>
      <c r="G387" s="194"/>
      <c r="H387" s="194"/>
      <c r="I387" s="194"/>
      <c r="J387" s="194"/>
      <c r="K387" s="194"/>
      <c r="L387" s="194"/>
      <c r="M387" s="194"/>
      <c r="N387" s="194"/>
      <c r="O387" s="194"/>
      <c r="P387" s="194"/>
      <c r="Q387" s="194"/>
      <c r="R387" s="194"/>
      <c r="S387" s="194"/>
      <c r="T387" s="194"/>
      <c r="U387" s="194"/>
      <c r="V387" s="194"/>
      <c r="W387" s="194"/>
      <c r="X387" s="194"/>
      <c r="Y387" s="194"/>
      <c r="Z387" s="194"/>
      <c r="AA387" s="194"/>
      <c r="AB387" s="194"/>
    </row>
    <row r="388" spans="4:28">
      <c r="D388" s="194"/>
      <c r="E388" s="194"/>
      <c r="F388" s="194"/>
      <c r="G388" s="194"/>
      <c r="H388" s="194"/>
      <c r="I388" s="194"/>
      <c r="J388" s="194"/>
      <c r="K388" s="194"/>
      <c r="L388" s="194"/>
      <c r="M388" s="194"/>
      <c r="N388" s="194"/>
      <c r="O388" s="194"/>
      <c r="P388" s="194"/>
      <c r="Q388" s="194"/>
      <c r="R388" s="194"/>
      <c r="S388" s="194"/>
      <c r="T388" s="194"/>
      <c r="U388" s="194"/>
      <c r="V388" s="194"/>
      <c r="W388" s="194"/>
      <c r="X388" s="194"/>
      <c r="Y388" s="194"/>
      <c r="Z388" s="194"/>
      <c r="AA388" s="194"/>
      <c r="AB388" s="194"/>
    </row>
    <row r="389" spans="4:28">
      <c r="D389" s="194"/>
      <c r="E389" s="194"/>
      <c r="F389" s="194"/>
      <c r="G389" s="194"/>
      <c r="H389" s="194"/>
      <c r="I389" s="194"/>
      <c r="J389" s="194"/>
      <c r="K389" s="194"/>
      <c r="L389" s="194"/>
      <c r="M389" s="194"/>
      <c r="N389" s="194"/>
      <c r="O389" s="194"/>
      <c r="P389" s="194"/>
      <c r="Q389" s="194"/>
      <c r="R389" s="194"/>
      <c r="S389" s="194"/>
      <c r="T389" s="194"/>
      <c r="U389" s="194"/>
      <c r="V389" s="194"/>
      <c r="W389" s="194"/>
      <c r="X389" s="194"/>
      <c r="Y389" s="194"/>
      <c r="Z389" s="194"/>
      <c r="AA389" s="194"/>
      <c r="AB389" s="194"/>
    </row>
    <row r="390" spans="4:28">
      <c r="D390" s="194"/>
      <c r="E390" s="194"/>
      <c r="F390" s="194"/>
      <c r="G390" s="194"/>
      <c r="H390" s="194"/>
      <c r="I390" s="194"/>
      <c r="J390" s="194"/>
      <c r="K390" s="194"/>
      <c r="L390" s="194"/>
      <c r="M390" s="194"/>
      <c r="N390" s="194"/>
      <c r="O390" s="194"/>
      <c r="P390" s="194"/>
      <c r="Q390" s="194"/>
      <c r="R390" s="194"/>
      <c r="S390" s="194"/>
      <c r="T390" s="194"/>
      <c r="U390" s="194"/>
      <c r="V390" s="194"/>
      <c r="W390" s="194"/>
      <c r="X390" s="194"/>
      <c r="Y390" s="194"/>
      <c r="Z390" s="194"/>
      <c r="AA390" s="194"/>
      <c r="AB390" s="194"/>
    </row>
    <row r="391" spans="4:28">
      <c r="D391" s="194"/>
      <c r="E391" s="194"/>
      <c r="F391" s="194"/>
      <c r="G391" s="194"/>
      <c r="H391" s="194"/>
      <c r="I391" s="194"/>
      <c r="J391" s="194"/>
      <c r="K391" s="194"/>
      <c r="L391" s="194"/>
      <c r="M391" s="194"/>
      <c r="N391" s="194"/>
      <c r="O391" s="194"/>
      <c r="P391" s="194"/>
      <c r="Q391" s="194"/>
      <c r="R391" s="194"/>
      <c r="S391" s="194"/>
      <c r="T391" s="194"/>
      <c r="U391" s="194"/>
      <c r="V391" s="194"/>
      <c r="W391" s="194"/>
      <c r="X391" s="194"/>
      <c r="Y391" s="194"/>
      <c r="Z391" s="194"/>
      <c r="AA391" s="194"/>
      <c r="AB391" s="194"/>
    </row>
    <row r="392" spans="4:28">
      <c r="D392" s="194"/>
      <c r="E392" s="194"/>
      <c r="F392" s="194"/>
      <c r="G392" s="194"/>
      <c r="H392" s="194"/>
      <c r="I392" s="194"/>
      <c r="J392" s="194"/>
      <c r="K392" s="194"/>
      <c r="L392" s="194"/>
      <c r="M392" s="194"/>
      <c r="N392" s="194"/>
      <c r="O392" s="194"/>
      <c r="P392" s="194"/>
      <c r="Q392" s="194"/>
      <c r="R392" s="194"/>
      <c r="S392" s="194"/>
      <c r="T392" s="194"/>
      <c r="U392" s="194"/>
      <c r="V392" s="194"/>
      <c r="W392" s="194"/>
      <c r="X392" s="194"/>
      <c r="Y392" s="194"/>
      <c r="Z392" s="194"/>
      <c r="AA392" s="194"/>
      <c r="AB392" s="194"/>
    </row>
    <row r="393" spans="4:28">
      <c r="D393" s="194"/>
      <c r="E393" s="194"/>
      <c r="F393" s="194"/>
      <c r="G393" s="194"/>
      <c r="H393" s="194"/>
      <c r="I393" s="194"/>
      <c r="J393" s="194"/>
      <c r="K393" s="194"/>
      <c r="L393" s="194"/>
      <c r="M393" s="194"/>
      <c r="N393" s="194"/>
      <c r="O393" s="194"/>
      <c r="P393" s="194"/>
      <c r="Q393" s="194"/>
      <c r="R393" s="194"/>
      <c r="S393" s="194"/>
      <c r="T393" s="194"/>
      <c r="U393" s="194"/>
      <c r="V393" s="194"/>
      <c r="W393" s="194"/>
      <c r="X393" s="194"/>
      <c r="Y393" s="194"/>
      <c r="Z393" s="194"/>
      <c r="AA393" s="194"/>
      <c r="AB393" s="194"/>
    </row>
    <row r="394" spans="4:28">
      <c r="D394" s="194"/>
      <c r="E394" s="194"/>
      <c r="F394" s="194"/>
      <c r="G394" s="194"/>
      <c r="H394" s="194"/>
      <c r="I394" s="194"/>
      <c r="J394" s="194"/>
      <c r="K394" s="194"/>
      <c r="L394" s="194"/>
      <c r="M394" s="194"/>
      <c r="N394" s="194"/>
      <c r="O394" s="194"/>
      <c r="P394" s="194"/>
      <c r="Q394" s="194"/>
      <c r="R394" s="194"/>
      <c r="S394" s="194"/>
      <c r="T394" s="194"/>
      <c r="U394" s="194"/>
      <c r="V394" s="194"/>
      <c r="W394" s="194"/>
      <c r="X394" s="194"/>
      <c r="Y394" s="194"/>
      <c r="Z394" s="194"/>
      <c r="AA394" s="194"/>
      <c r="AB394" s="194"/>
    </row>
    <row r="395" spans="4:28">
      <c r="D395" s="194"/>
      <c r="E395" s="194"/>
      <c r="F395" s="194"/>
      <c r="G395" s="194"/>
      <c r="H395" s="194"/>
      <c r="I395" s="194"/>
      <c r="J395" s="194"/>
      <c r="K395" s="194"/>
      <c r="L395" s="194"/>
      <c r="M395" s="194"/>
      <c r="N395" s="194"/>
      <c r="O395" s="194"/>
      <c r="P395" s="194"/>
      <c r="Q395" s="194"/>
      <c r="R395" s="194"/>
      <c r="S395" s="194"/>
      <c r="T395" s="194"/>
      <c r="U395" s="194"/>
      <c r="V395" s="194"/>
      <c r="W395" s="194"/>
      <c r="X395" s="194"/>
      <c r="Y395" s="194"/>
      <c r="Z395" s="194"/>
      <c r="AA395" s="194"/>
      <c r="AB395" s="194"/>
    </row>
    <row r="396" spans="4:28">
      <c r="D396" s="194"/>
      <c r="E396" s="194"/>
      <c r="F396" s="194"/>
      <c r="G396" s="194"/>
      <c r="H396" s="194"/>
      <c r="I396" s="194"/>
      <c r="J396" s="194"/>
      <c r="K396" s="194"/>
      <c r="L396" s="194"/>
      <c r="M396" s="194"/>
      <c r="N396" s="194"/>
      <c r="O396" s="194"/>
      <c r="P396" s="194"/>
      <c r="Q396" s="194"/>
      <c r="R396" s="194"/>
      <c r="S396" s="194"/>
      <c r="T396" s="194"/>
      <c r="U396" s="194"/>
      <c r="V396" s="194"/>
      <c r="W396" s="194"/>
      <c r="X396" s="194"/>
      <c r="Y396" s="194"/>
      <c r="Z396" s="194"/>
      <c r="AA396" s="194"/>
      <c r="AB396" s="194"/>
    </row>
    <row r="397" spans="4:28">
      <c r="D397" s="194"/>
      <c r="E397" s="194"/>
      <c r="F397" s="194"/>
      <c r="G397" s="194"/>
      <c r="H397" s="194"/>
      <c r="I397" s="194"/>
      <c r="J397" s="194"/>
      <c r="K397" s="194"/>
      <c r="L397" s="194"/>
      <c r="M397" s="194"/>
      <c r="N397" s="194"/>
      <c r="O397" s="194"/>
      <c r="P397" s="194"/>
      <c r="Q397" s="194"/>
      <c r="R397" s="194"/>
      <c r="S397" s="194"/>
      <c r="T397" s="194"/>
      <c r="U397" s="194"/>
      <c r="V397" s="194"/>
      <c r="W397" s="194"/>
      <c r="X397" s="194"/>
      <c r="Y397" s="194"/>
      <c r="Z397" s="194"/>
      <c r="AA397" s="194"/>
      <c r="AB397" s="194"/>
    </row>
    <row r="398" spans="4:28">
      <c r="D398" s="194"/>
      <c r="E398" s="194"/>
      <c r="F398" s="194"/>
      <c r="G398" s="194"/>
      <c r="H398" s="194"/>
      <c r="I398" s="194"/>
      <c r="J398" s="194"/>
      <c r="K398" s="194"/>
      <c r="L398" s="194"/>
      <c r="M398" s="194"/>
      <c r="N398" s="194"/>
      <c r="O398" s="194"/>
      <c r="P398" s="194"/>
      <c r="Q398" s="194"/>
      <c r="R398" s="194"/>
      <c r="S398" s="194"/>
      <c r="T398" s="194"/>
      <c r="U398" s="194"/>
      <c r="V398" s="194"/>
      <c r="W398" s="194"/>
      <c r="X398" s="194"/>
      <c r="Y398" s="194"/>
      <c r="Z398" s="194"/>
      <c r="AA398" s="194"/>
      <c r="AB398" s="194"/>
    </row>
    <row r="399" spans="4:28">
      <c r="D399" s="194"/>
      <c r="E399" s="194"/>
      <c r="F399" s="194"/>
      <c r="G399" s="194"/>
      <c r="H399" s="194"/>
      <c r="I399" s="194"/>
      <c r="J399" s="194"/>
      <c r="K399" s="194"/>
      <c r="L399" s="194"/>
      <c r="M399" s="194"/>
      <c r="N399" s="194"/>
      <c r="O399" s="194"/>
      <c r="P399" s="194"/>
      <c r="Q399" s="194"/>
      <c r="R399" s="194"/>
      <c r="S399" s="194"/>
      <c r="T399" s="194"/>
      <c r="U399" s="194"/>
      <c r="V399" s="194"/>
      <c r="W399" s="194"/>
      <c r="X399" s="194"/>
      <c r="Y399" s="194"/>
      <c r="Z399" s="194"/>
      <c r="AA399" s="194"/>
      <c r="AB399" s="194"/>
    </row>
    <row r="400" spans="4:28">
      <c r="D400" s="194"/>
      <c r="E400" s="194"/>
      <c r="F400" s="194"/>
      <c r="G400" s="194"/>
      <c r="H400" s="194"/>
      <c r="I400" s="194"/>
      <c r="J400" s="194"/>
      <c r="K400" s="194"/>
      <c r="L400" s="194"/>
      <c r="M400" s="194"/>
      <c r="N400" s="194"/>
      <c r="O400" s="194"/>
      <c r="P400" s="194"/>
      <c r="Q400" s="194"/>
      <c r="R400" s="194"/>
      <c r="S400" s="194"/>
      <c r="T400" s="194"/>
      <c r="U400" s="194"/>
      <c r="V400" s="194"/>
      <c r="W400" s="194"/>
      <c r="X400" s="194"/>
      <c r="Y400" s="194"/>
      <c r="Z400" s="194"/>
      <c r="AA400" s="194"/>
      <c r="AB400" s="194"/>
    </row>
    <row r="401" spans="4:28">
      <c r="D401" s="194"/>
      <c r="E401" s="194"/>
      <c r="F401" s="194"/>
      <c r="G401" s="194"/>
      <c r="H401" s="194"/>
      <c r="I401" s="194"/>
      <c r="J401" s="194"/>
      <c r="K401" s="194"/>
      <c r="L401" s="194"/>
      <c r="M401" s="194"/>
      <c r="N401" s="194"/>
      <c r="O401" s="194"/>
      <c r="P401" s="194"/>
      <c r="Q401" s="194"/>
      <c r="R401" s="194"/>
      <c r="S401" s="194"/>
      <c r="T401" s="194"/>
      <c r="U401" s="194"/>
      <c r="V401" s="194"/>
      <c r="W401" s="194"/>
      <c r="X401" s="194"/>
      <c r="Y401" s="194"/>
      <c r="Z401" s="194"/>
      <c r="AA401" s="194"/>
      <c r="AB401" s="194"/>
    </row>
    <row r="402" spans="4:28">
      <c r="D402" s="194"/>
      <c r="E402" s="194"/>
      <c r="F402" s="194"/>
      <c r="G402" s="194"/>
      <c r="H402" s="194"/>
      <c r="I402" s="194"/>
      <c r="J402" s="194"/>
      <c r="K402" s="194"/>
      <c r="L402" s="194"/>
      <c r="M402" s="194"/>
      <c r="N402" s="194"/>
      <c r="O402" s="194"/>
      <c r="P402" s="194"/>
      <c r="Q402" s="194"/>
      <c r="R402" s="194"/>
      <c r="S402" s="194"/>
      <c r="T402" s="194"/>
      <c r="U402" s="194"/>
      <c r="V402" s="194"/>
      <c r="W402" s="194"/>
      <c r="X402" s="194"/>
      <c r="Y402" s="194"/>
      <c r="Z402" s="194"/>
      <c r="AA402" s="194"/>
      <c r="AB402" s="194"/>
    </row>
    <row r="403" spans="4:28">
      <c r="D403" s="194"/>
      <c r="E403" s="194"/>
      <c r="F403" s="194"/>
      <c r="G403" s="194"/>
      <c r="H403" s="194"/>
      <c r="I403" s="194"/>
      <c r="J403" s="194"/>
      <c r="K403" s="194"/>
      <c r="L403" s="194"/>
      <c r="M403" s="194"/>
      <c r="N403" s="194"/>
      <c r="O403" s="194"/>
      <c r="P403" s="194"/>
      <c r="Q403" s="194"/>
      <c r="R403" s="194"/>
      <c r="S403" s="194"/>
      <c r="T403" s="194"/>
      <c r="U403" s="194"/>
      <c r="V403" s="194"/>
      <c r="W403" s="194"/>
      <c r="X403" s="194"/>
      <c r="Y403" s="194"/>
      <c r="Z403" s="194"/>
      <c r="AA403" s="194"/>
      <c r="AB403" s="194"/>
    </row>
    <row r="404" spans="4:28">
      <c r="D404" s="194"/>
      <c r="E404" s="194"/>
      <c r="F404" s="194"/>
      <c r="G404" s="194"/>
      <c r="H404" s="194"/>
      <c r="I404" s="194"/>
      <c r="J404" s="194"/>
      <c r="K404" s="194"/>
      <c r="L404" s="194"/>
      <c r="M404" s="194"/>
      <c r="N404" s="194"/>
      <c r="O404" s="194"/>
      <c r="P404" s="194"/>
      <c r="Q404" s="194"/>
      <c r="R404" s="194"/>
      <c r="S404" s="194"/>
      <c r="T404" s="194"/>
      <c r="U404" s="194"/>
      <c r="V404" s="194"/>
      <c r="W404" s="194"/>
      <c r="X404" s="194"/>
      <c r="Y404" s="194"/>
      <c r="Z404" s="194"/>
      <c r="AA404" s="194"/>
      <c r="AB404" s="194"/>
    </row>
    <row r="405" spans="4:28">
      <c r="D405" s="194"/>
      <c r="E405" s="194"/>
      <c r="F405" s="194"/>
      <c r="G405" s="194"/>
      <c r="H405" s="194"/>
      <c r="I405" s="194"/>
      <c r="J405" s="194"/>
      <c r="K405" s="194"/>
      <c r="L405" s="194"/>
      <c r="M405" s="194"/>
      <c r="N405" s="194"/>
      <c r="O405" s="194"/>
      <c r="P405" s="194"/>
      <c r="Q405" s="194"/>
      <c r="R405" s="194"/>
      <c r="S405" s="194"/>
      <c r="T405" s="194"/>
      <c r="U405" s="194"/>
      <c r="V405" s="194"/>
      <c r="W405" s="194"/>
      <c r="X405" s="194"/>
      <c r="Y405" s="194"/>
      <c r="Z405" s="194"/>
      <c r="AA405" s="194"/>
      <c r="AB405" s="194"/>
    </row>
    <row r="406" spans="4:28">
      <c r="D406" s="194"/>
      <c r="E406" s="194"/>
      <c r="F406" s="194"/>
      <c r="G406" s="194"/>
      <c r="H406" s="194"/>
      <c r="I406" s="194"/>
      <c r="J406" s="194"/>
      <c r="K406" s="194"/>
      <c r="L406" s="194"/>
      <c r="M406" s="194"/>
      <c r="N406" s="194"/>
      <c r="O406" s="194"/>
      <c r="P406" s="194"/>
      <c r="Q406" s="194"/>
      <c r="R406" s="194"/>
      <c r="S406" s="194"/>
      <c r="T406" s="194"/>
      <c r="U406" s="194"/>
      <c r="V406" s="194"/>
      <c r="W406" s="194"/>
      <c r="X406" s="194"/>
      <c r="Y406" s="194"/>
      <c r="Z406" s="194"/>
      <c r="AA406" s="194"/>
      <c r="AB406" s="194"/>
    </row>
    <row r="407" spans="4:28">
      <c r="D407" s="194"/>
      <c r="E407" s="194"/>
      <c r="F407" s="194"/>
      <c r="G407" s="194"/>
      <c r="H407" s="194"/>
      <c r="I407" s="194"/>
      <c r="J407" s="194"/>
      <c r="K407" s="194"/>
      <c r="L407" s="194"/>
      <c r="M407" s="194"/>
      <c r="N407" s="194"/>
      <c r="O407" s="194"/>
      <c r="P407" s="194"/>
      <c r="Q407" s="194"/>
      <c r="R407" s="194"/>
      <c r="S407" s="194"/>
      <c r="T407" s="194"/>
      <c r="U407" s="194"/>
      <c r="V407" s="194"/>
      <c r="W407" s="194"/>
      <c r="X407" s="194"/>
      <c r="Y407" s="194"/>
      <c r="Z407" s="194"/>
      <c r="AA407" s="194"/>
      <c r="AB407" s="194"/>
    </row>
    <row r="408" spans="4:28">
      <c r="D408" s="194"/>
      <c r="E408" s="194"/>
      <c r="F408" s="194"/>
      <c r="G408" s="194"/>
      <c r="H408" s="194"/>
      <c r="I408" s="194"/>
      <c r="J408" s="194"/>
      <c r="K408" s="194"/>
      <c r="L408" s="194"/>
      <c r="M408" s="194"/>
      <c r="N408" s="194"/>
      <c r="O408" s="194"/>
      <c r="P408" s="194"/>
      <c r="Q408" s="194"/>
      <c r="R408" s="194"/>
      <c r="S408" s="194"/>
      <c r="T408" s="194"/>
      <c r="U408" s="194"/>
      <c r="V408" s="194"/>
      <c r="W408" s="194"/>
      <c r="X408" s="194"/>
      <c r="Y408" s="194"/>
      <c r="Z408" s="194"/>
      <c r="AA408" s="194"/>
      <c r="AB408" s="194"/>
    </row>
    <row r="409" spans="4:28">
      <c r="D409" s="194"/>
      <c r="E409" s="194"/>
      <c r="F409" s="194"/>
      <c r="G409" s="194"/>
      <c r="H409" s="194"/>
      <c r="I409" s="194"/>
      <c r="J409" s="194"/>
      <c r="K409" s="194"/>
      <c r="L409" s="194"/>
      <c r="M409" s="194"/>
      <c r="N409" s="194"/>
      <c r="O409" s="194"/>
      <c r="P409" s="194"/>
      <c r="Q409" s="194"/>
      <c r="R409" s="194"/>
      <c r="S409" s="194"/>
      <c r="T409" s="194"/>
      <c r="U409" s="194"/>
      <c r="V409" s="194"/>
      <c r="W409" s="194"/>
      <c r="X409" s="194"/>
      <c r="Y409" s="194"/>
      <c r="Z409" s="194"/>
      <c r="AA409" s="194"/>
      <c r="AB409" s="194"/>
    </row>
    <row r="410" spans="4:28">
      <c r="D410" s="194"/>
      <c r="E410" s="194"/>
      <c r="F410" s="194"/>
      <c r="G410" s="194"/>
      <c r="H410" s="194"/>
      <c r="I410" s="194"/>
      <c r="J410" s="194"/>
      <c r="K410" s="194"/>
      <c r="L410" s="194"/>
      <c r="M410" s="194"/>
      <c r="N410" s="194"/>
      <c r="O410" s="194"/>
      <c r="P410" s="194"/>
      <c r="Q410" s="194"/>
      <c r="R410" s="194"/>
      <c r="S410" s="194"/>
      <c r="T410" s="194"/>
      <c r="U410" s="194"/>
      <c r="V410" s="194"/>
      <c r="W410" s="194"/>
      <c r="X410" s="194"/>
      <c r="Y410" s="194"/>
      <c r="Z410" s="194"/>
      <c r="AA410" s="194"/>
      <c r="AB410" s="194"/>
    </row>
    <row r="411" spans="4:28">
      <c r="D411" s="194"/>
      <c r="E411" s="194"/>
      <c r="F411" s="194"/>
      <c r="G411" s="194"/>
      <c r="H411" s="194"/>
      <c r="I411" s="194"/>
      <c r="J411" s="194"/>
      <c r="K411" s="194"/>
      <c r="L411" s="194"/>
      <c r="M411" s="194"/>
      <c r="N411" s="194"/>
      <c r="O411" s="194"/>
      <c r="P411" s="194"/>
      <c r="Q411" s="194"/>
      <c r="R411" s="194"/>
      <c r="S411" s="194"/>
      <c r="T411" s="194"/>
      <c r="U411" s="194"/>
      <c r="V411" s="194"/>
      <c r="W411" s="194"/>
      <c r="X411" s="194"/>
      <c r="Y411" s="194"/>
      <c r="Z411" s="194"/>
      <c r="AA411" s="194"/>
      <c r="AB411" s="194"/>
    </row>
    <row r="412" spans="4:28">
      <c r="D412" s="194"/>
      <c r="E412" s="194"/>
      <c r="F412" s="194"/>
      <c r="G412" s="194"/>
      <c r="H412" s="194"/>
      <c r="I412" s="194"/>
      <c r="J412" s="194"/>
      <c r="K412" s="194"/>
      <c r="L412" s="194"/>
      <c r="M412" s="194"/>
      <c r="N412" s="194"/>
      <c r="O412" s="194"/>
      <c r="P412" s="194"/>
      <c r="Q412" s="194"/>
      <c r="R412" s="194"/>
      <c r="S412" s="194"/>
      <c r="T412" s="194"/>
      <c r="U412" s="194"/>
      <c r="V412" s="194"/>
      <c r="W412" s="194"/>
      <c r="X412" s="194"/>
      <c r="Y412" s="194"/>
      <c r="Z412" s="194"/>
      <c r="AA412" s="194"/>
      <c r="AB412" s="194"/>
    </row>
    <row r="413" spans="4:28">
      <c r="D413" s="194"/>
      <c r="E413" s="194"/>
      <c r="F413" s="194"/>
      <c r="G413" s="194"/>
      <c r="H413" s="194"/>
      <c r="I413" s="194"/>
      <c r="J413" s="194"/>
      <c r="K413" s="194"/>
      <c r="L413" s="194"/>
      <c r="M413" s="194"/>
      <c r="N413" s="194"/>
      <c r="O413" s="194"/>
      <c r="P413" s="194"/>
      <c r="Q413" s="194"/>
      <c r="R413" s="194"/>
      <c r="S413" s="194"/>
      <c r="T413" s="194"/>
      <c r="U413" s="194"/>
      <c r="V413" s="194"/>
      <c r="W413" s="194"/>
      <c r="X413" s="194"/>
      <c r="Y413" s="194"/>
      <c r="Z413" s="194"/>
      <c r="AA413" s="194"/>
      <c r="AB413" s="194"/>
    </row>
    <row r="414" spans="4:28">
      <c r="D414" s="194"/>
      <c r="E414" s="194"/>
      <c r="F414" s="194"/>
      <c r="G414" s="194"/>
      <c r="H414" s="194"/>
      <c r="I414" s="194"/>
      <c r="J414" s="194"/>
      <c r="K414" s="194"/>
      <c r="L414" s="194"/>
      <c r="M414" s="194"/>
      <c r="N414" s="194"/>
      <c r="O414" s="194"/>
      <c r="P414" s="194"/>
      <c r="Q414" s="194"/>
      <c r="R414" s="194"/>
      <c r="S414" s="194"/>
      <c r="T414" s="194"/>
      <c r="U414" s="194"/>
      <c r="V414" s="194"/>
      <c r="W414" s="194"/>
      <c r="X414" s="194"/>
      <c r="Y414" s="194"/>
      <c r="Z414" s="194"/>
      <c r="AA414" s="194"/>
      <c r="AB414" s="194"/>
    </row>
    <row r="415" spans="4:28">
      <c r="D415" s="194"/>
      <c r="E415" s="194"/>
      <c r="F415" s="194"/>
      <c r="G415" s="194"/>
      <c r="H415" s="194"/>
      <c r="I415" s="194"/>
      <c r="J415" s="194"/>
      <c r="K415" s="194"/>
      <c r="L415" s="194"/>
      <c r="M415" s="194"/>
      <c r="N415" s="194"/>
      <c r="O415" s="194"/>
      <c r="P415" s="194"/>
      <c r="Q415" s="194"/>
      <c r="R415" s="194"/>
      <c r="S415" s="194"/>
      <c r="T415" s="194"/>
      <c r="U415" s="194"/>
      <c r="V415" s="194"/>
      <c r="W415" s="194"/>
      <c r="X415" s="194"/>
      <c r="Y415" s="194"/>
      <c r="Z415" s="194"/>
      <c r="AA415" s="194"/>
      <c r="AB415" s="194"/>
    </row>
    <row r="416" spans="4:28">
      <c r="D416" s="194"/>
      <c r="E416" s="194"/>
      <c r="F416" s="194"/>
      <c r="G416" s="194"/>
      <c r="H416" s="194"/>
      <c r="I416" s="194"/>
      <c r="J416" s="194"/>
      <c r="K416" s="194"/>
      <c r="L416" s="194"/>
      <c r="M416" s="194"/>
      <c r="N416" s="194"/>
      <c r="O416" s="194"/>
      <c r="P416" s="194"/>
      <c r="Q416" s="194"/>
      <c r="R416" s="194"/>
      <c r="S416" s="194"/>
      <c r="T416" s="194"/>
      <c r="U416" s="194"/>
      <c r="V416" s="194"/>
      <c r="W416" s="194"/>
      <c r="X416" s="194"/>
      <c r="Y416" s="194"/>
      <c r="Z416" s="194"/>
      <c r="AA416" s="194"/>
      <c r="AB416" s="194"/>
    </row>
    <row r="417" spans="4:28">
      <c r="D417" s="194"/>
      <c r="E417" s="194"/>
      <c r="F417" s="194"/>
      <c r="G417" s="194"/>
      <c r="H417" s="194"/>
      <c r="I417" s="194"/>
      <c r="J417" s="194"/>
      <c r="K417" s="194"/>
      <c r="L417" s="194"/>
      <c r="M417" s="194"/>
      <c r="N417" s="194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4"/>
      <c r="AA417" s="194"/>
      <c r="AB417" s="194"/>
    </row>
    <row r="418" spans="4:28">
      <c r="D418" s="194"/>
      <c r="E418" s="194"/>
      <c r="F418" s="194"/>
      <c r="G418" s="194"/>
      <c r="H418" s="194"/>
      <c r="I418" s="194"/>
      <c r="J418" s="194"/>
      <c r="K418" s="194"/>
      <c r="L418" s="194"/>
      <c r="M418" s="194"/>
      <c r="N418" s="194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4"/>
      <c r="AA418" s="194"/>
      <c r="AB418" s="194"/>
    </row>
    <row r="419" spans="4:28">
      <c r="D419" s="194"/>
      <c r="E419" s="194"/>
      <c r="F419" s="194"/>
      <c r="G419" s="194"/>
      <c r="H419" s="194"/>
      <c r="I419" s="194"/>
      <c r="J419" s="194"/>
      <c r="K419" s="194"/>
      <c r="L419" s="194"/>
      <c r="M419" s="194"/>
      <c r="N419" s="194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4"/>
      <c r="AA419" s="194"/>
      <c r="AB419" s="194"/>
    </row>
    <row r="420" spans="4:28">
      <c r="D420" s="194"/>
      <c r="E420" s="194"/>
      <c r="F420" s="194"/>
      <c r="G420" s="194"/>
      <c r="H420" s="194"/>
      <c r="I420" s="194"/>
      <c r="J420" s="194"/>
      <c r="K420" s="194"/>
      <c r="L420" s="194"/>
      <c r="M420" s="194"/>
      <c r="N420" s="194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4"/>
      <c r="AA420" s="194"/>
      <c r="AB420" s="194"/>
    </row>
    <row r="421" spans="4:28">
      <c r="D421" s="194"/>
      <c r="E421" s="194"/>
      <c r="F421" s="194"/>
      <c r="G421" s="194"/>
      <c r="H421" s="194"/>
      <c r="I421" s="194"/>
      <c r="J421" s="194"/>
      <c r="K421" s="194"/>
      <c r="L421" s="194"/>
      <c r="M421" s="194"/>
      <c r="N421" s="194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4"/>
      <c r="AA421" s="194"/>
      <c r="AB421" s="194"/>
    </row>
    <row r="422" spans="4:28">
      <c r="D422" s="194"/>
      <c r="E422" s="194"/>
      <c r="F422" s="194"/>
      <c r="G422" s="194"/>
      <c r="H422" s="194"/>
      <c r="I422" s="194"/>
      <c r="J422" s="194"/>
      <c r="K422" s="194"/>
      <c r="L422" s="194"/>
      <c r="M422" s="194"/>
      <c r="N422" s="194"/>
      <c r="O422" s="194"/>
      <c r="P422" s="194"/>
      <c r="Q422" s="194"/>
      <c r="R422" s="194"/>
      <c r="S422" s="194"/>
      <c r="T422" s="194"/>
      <c r="U422" s="194"/>
      <c r="V422" s="194"/>
      <c r="W422" s="194"/>
      <c r="X422" s="194"/>
      <c r="Y422" s="194"/>
      <c r="Z422" s="194"/>
      <c r="AA422" s="194"/>
      <c r="AB422" s="194"/>
    </row>
  </sheetData>
  <phoneticPr fontId="5" type="noConversion"/>
  <pageMargins left="0.35" right="0.5" top="0.67" bottom="1" header="0.5" footer="0.5"/>
  <pageSetup scale="90" orientation="portrait" horizontalDpi="300" verticalDpi="300" r:id="rId1"/>
  <headerFooter alignWithMargins="0">
    <oddHeader>&amp;A</oddHeader>
    <oddFooter>Page &amp;P</oddFooter>
  </headerFooter>
  <ignoredErrors>
    <ignoredError sqref="D58:AB58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B1:AT198"/>
  <sheetViews>
    <sheetView zoomScale="85" zoomScaleNormal="85" workbookViewId="0">
      <pane xSplit="3" ySplit="4" topLeftCell="D56" activePane="bottomRight" state="frozen"/>
      <selection pane="topRight" activeCell="D1" sqref="D1"/>
      <selection pane="bottomLeft" activeCell="A5" sqref="A5"/>
      <selection pane="bottomRight" activeCell="E33" sqref="E33"/>
    </sheetView>
  </sheetViews>
  <sheetFormatPr defaultColWidth="9.109375" defaultRowHeight="15.6"/>
  <cols>
    <col min="1" max="1" width="9.109375" style="72"/>
    <col min="2" max="2" width="5.5546875" style="96" customWidth="1"/>
    <col min="3" max="3" width="31.44140625" style="72" customWidth="1"/>
    <col min="4" max="4" width="17.44140625" style="72" bestFit="1" customWidth="1"/>
    <col min="5" max="5" width="16.33203125" style="109" customWidth="1"/>
    <col min="6" max="6" width="20" style="35" customWidth="1"/>
    <col min="7" max="29" width="12" style="74" customWidth="1"/>
    <col min="30" max="46" width="9.109375" style="74"/>
    <col min="47" max="16384" width="9.109375" style="72"/>
  </cols>
  <sheetData>
    <row r="1" spans="2:46" ht="18">
      <c r="B1" s="352" t="s">
        <v>350</v>
      </c>
    </row>
    <row r="2" spans="2:46">
      <c r="B2" s="75" t="s">
        <v>154</v>
      </c>
      <c r="E2" s="110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</row>
    <row r="3" spans="2:46" ht="16.2" thickBot="1">
      <c r="B3" s="77"/>
      <c r="E3" s="110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</row>
    <row r="4" spans="2:46" ht="21.75" customHeight="1" thickBot="1">
      <c r="B4" s="424" t="s">
        <v>29</v>
      </c>
      <c r="C4" s="425"/>
      <c r="D4" s="78" t="s">
        <v>90</v>
      </c>
      <c r="E4" s="111" t="s">
        <v>86</v>
      </c>
      <c r="F4" s="112" t="s">
        <v>155</v>
      </c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</row>
    <row r="5" spans="2:46" ht="18">
      <c r="B5" s="79" t="s">
        <v>30</v>
      </c>
      <c r="C5" s="80"/>
      <c r="D5" s="81"/>
      <c r="E5" s="113"/>
      <c r="F5" s="114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</row>
    <row r="6" spans="2:46">
      <c r="B6" s="82" t="s">
        <v>31</v>
      </c>
      <c r="C6" s="83"/>
      <c r="D6" s="84"/>
      <c r="E6" s="115"/>
      <c r="F6" s="116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</row>
    <row r="7" spans="2:46">
      <c r="B7" s="85"/>
      <c r="C7" s="134" t="s">
        <v>32</v>
      </c>
      <c r="D7" s="84" t="s">
        <v>156</v>
      </c>
      <c r="E7" s="115">
        <v>5281.4453147847698</v>
      </c>
      <c r="F7" s="117">
        <v>5825.4672083079613</v>
      </c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</row>
    <row r="8" spans="2:46">
      <c r="B8" s="85"/>
      <c r="C8" s="134" t="s">
        <v>7</v>
      </c>
      <c r="D8" s="84" t="s">
        <v>156</v>
      </c>
      <c r="E8" s="118">
        <v>16440.836842105266</v>
      </c>
      <c r="F8" s="119">
        <v>16440.836842105266</v>
      </c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</row>
    <row r="9" spans="2:46">
      <c r="B9" s="85"/>
      <c r="C9" s="134" t="s">
        <v>473</v>
      </c>
      <c r="D9" s="84" t="s">
        <v>157</v>
      </c>
      <c r="E9" s="118">
        <v>34974.699999999997</v>
      </c>
      <c r="F9" s="119">
        <v>34974.699999999997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</row>
    <row r="10" spans="2:46">
      <c r="B10" s="85"/>
      <c r="C10" s="134" t="s">
        <v>33</v>
      </c>
      <c r="D10" s="84" t="s">
        <v>158</v>
      </c>
      <c r="E10" s="118">
        <f>'Data Dasar'!$D$53</f>
        <v>712145905</v>
      </c>
      <c r="F10" s="119">
        <f>E10</f>
        <v>712145905</v>
      </c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</row>
    <row r="11" spans="2:46">
      <c r="B11" s="85"/>
      <c r="C11" s="134" t="s">
        <v>3</v>
      </c>
      <c r="D11" s="84" t="s">
        <v>158</v>
      </c>
      <c r="E11" s="118">
        <f>'Data Dasar'!$D$54</f>
        <v>36940258</v>
      </c>
      <c r="F11" s="119">
        <f>E11</f>
        <v>36940258</v>
      </c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</row>
    <row r="12" spans="2:46">
      <c r="B12" s="85"/>
      <c r="C12" s="87"/>
      <c r="D12" s="84"/>
      <c r="E12" s="120"/>
      <c r="F12" s="116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</row>
    <row r="13" spans="2:46">
      <c r="B13" s="88" t="s">
        <v>35</v>
      </c>
      <c r="C13" s="86"/>
      <c r="D13" s="84"/>
      <c r="E13" s="121"/>
      <c r="F13" s="116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</row>
    <row r="14" spans="2:46">
      <c r="B14" s="85"/>
      <c r="C14" s="135" t="s">
        <v>4</v>
      </c>
      <c r="D14" s="84" t="s">
        <v>158</v>
      </c>
      <c r="E14" s="118">
        <f>'Data Dasar'!$D$55</f>
        <v>30460278650</v>
      </c>
      <c r="F14" s="119">
        <f>Parity!H20</f>
        <v>118075462656.89375</v>
      </c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</row>
    <row r="15" spans="2:46">
      <c r="B15" s="85"/>
      <c r="C15" s="135" t="s">
        <v>5</v>
      </c>
      <c r="D15" s="84" t="s">
        <v>158</v>
      </c>
      <c r="E15" s="118">
        <f>'Data Dasar'!$D$56</f>
        <v>349501200</v>
      </c>
      <c r="F15" s="119">
        <f>Parity!I20</f>
        <v>1354797719.1500001</v>
      </c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</row>
    <row r="16" spans="2:46">
      <c r="B16" s="85"/>
      <c r="C16" s="86"/>
      <c r="D16" s="84"/>
      <c r="E16" s="120"/>
      <c r="F16" s="116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</row>
    <row r="17" spans="2:46" ht="18">
      <c r="B17" s="89" t="s">
        <v>38</v>
      </c>
      <c r="C17" s="90"/>
      <c r="D17" s="84"/>
      <c r="E17" s="121"/>
      <c r="F17" s="116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</row>
    <row r="18" spans="2:46">
      <c r="B18" s="82" t="s">
        <v>39</v>
      </c>
      <c r="C18" s="76"/>
      <c r="D18" s="84"/>
      <c r="E18" s="121"/>
      <c r="F18" s="116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</row>
    <row r="19" spans="2:46">
      <c r="B19" s="85"/>
      <c r="C19" s="133" t="s">
        <v>40</v>
      </c>
      <c r="D19" s="84"/>
      <c r="E19" s="121"/>
      <c r="F19" s="116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</row>
    <row r="20" spans="2:46">
      <c r="B20" s="85"/>
      <c r="C20" s="131" t="s">
        <v>79</v>
      </c>
      <c r="D20" s="84" t="s">
        <v>159</v>
      </c>
      <c r="E20" s="122">
        <f>('Data Dasar'!D82*12/4000)*Summary!$D$9</f>
        <v>742500000</v>
      </c>
      <c r="F20" s="125">
        <f>('Data Dasar'!$D82*12/4000)*Summary!$D$10</f>
        <v>742500000</v>
      </c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</row>
    <row r="21" spans="2:46">
      <c r="B21" s="85"/>
      <c r="C21" s="131" t="s">
        <v>41</v>
      </c>
      <c r="D21" s="84"/>
      <c r="E21" s="122"/>
      <c r="F21" s="123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</row>
    <row r="22" spans="2:46">
      <c r="B22" s="85"/>
      <c r="C22" s="146" t="s">
        <v>8</v>
      </c>
      <c r="D22" s="147" t="s">
        <v>160</v>
      </c>
      <c r="E22" s="148">
        <f>'Data Dasar'!E62</f>
        <v>792357.02794720093</v>
      </c>
      <c r="F22" s="149">
        <f t="shared" ref="F22:F27" si="0">E22</f>
        <v>792357.02794720093</v>
      </c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</row>
    <row r="23" spans="2:46">
      <c r="B23" s="85"/>
      <c r="C23" s="146" t="s">
        <v>439</v>
      </c>
      <c r="D23" s="147" t="s">
        <v>161</v>
      </c>
      <c r="E23" s="148">
        <f>'Data Dasar'!E63</f>
        <v>14122.005448333335</v>
      </c>
      <c r="F23" s="149">
        <f t="shared" si="0"/>
        <v>14122.005448333335</v>
      </c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</row>
    <row r="24" spans="2:46">
      <c r="B24" s="85"/>
      <c r="C24" s="146" t="s">
        <v>428</v>
      </c>
      <c r="D24" s="147" t="s">
        <v>161</v>
      </c>
      <c r="E24" s="148">
        <f>'Data Dasar'!E64</f>
        <v>8568.3895333333312</v>
      </c>
      <c r="F24" s="149">
        <f t="shared" si="0"/>
        <v>8568.3895333333312</v>
      </c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</row>
    <row r="25" spans="2:46">
      <c r="B25" s="85"/>
      <c r="C25" s="146" t="s">
        <v>12</v>
      </c>
      <c r="D25" s="147" t="s">
        <v>161</v>
      </c>
      <c r="E25" s="148">
        <f>'Data Dasar'!E65</f>
        <v>14564.195936427108</v>
      </c>
      <c r="F25" s="149">
        <f t="shared" si="0"/>
        <v>14564.195936427108</v>
      </c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</row>
    <row r="26" spans="2:46">
      <c r="B26" s="85"/>
      <c r="C26" s="146" t="s">
        <v>442</v>
      </c>
      <c r="D26" s="147" t="s">
        <v>161</v>
      </c>
      <c r="E26" s="148">
        <f>'Data Dasar'!E66</f>
        <v>17859.558922402088</v>
      </c>
      <c r="F26" s="149">
        <f t="shared" si="0"/>
        <v>17859.558922402088</v>
      </c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</row>
    <row r="27" spans="2:46">
      <c r="B27" s="85"/>
      <c r="C27" s="171" t="s">
        <v>15</v>
      </c>
      <c r="D27" s="147" t="s">
        <v>434</v>
      </c>
      <c r="E27" s="148">
        <f>Summary!$D$9*30</f>
        <v>2250000</v>
      </c>
      <c r="F27" s="148">
        <f t="shared" si="0"/>
        <v>2250000</v>
      </c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</row>
    <row r="28" spans="2:46" s="274" customFormat="1">
      <c r="B28" s="273"/>
      <c r="C28" s="146" t="s">
        <v>16</v>
      </c>
      <c r="D28" s="147" t="s">
        <v>160</v>
      </c>
      <c r="E28" s="148">
        <f>('Data Dasar'!$D71/4000)*Summary!$D$9</f>
        <v>4330667.211538462</v>
      </c>
      <c r="F28" s="149">
        <f>('Data Dasar'!$D71/4000)*Summary!$D$10</f>
        <v>4330667.211538462</v>
      </c>
    </row>
    <row r="29" spans="2:46">
      <c r="B29" s="85"/>
      <c r="C29" s="146" t="s">
        <v>18</v>
      </c>
      <c r="D29" s="147" t="s">
        <v>434</v>
      </c>
      <c r="E29" s="148">
        <f>Summary!$D$9*30</f>
        <v>2250000</v>
      </c>
      <c r="F29" s="149">
        <f>Summary!$D$10*30</f>
        <v>2250000</v>
      </c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</row>
    <row r="30" spans="2:46">
      <c r="B30" s="85"/>
      <c r="C30" s="146" t="s">
        <v>19</v>
      </c>
      <c r="D30" s="147" t="s">
        <v>434</v>
      </c>
      <c r="E30" s="148">
        <f>Summary!$D$9*30</f>
        <v>2250000</v>
      </c>
      <c r="F30" s="149">
        <f>Summary!$D$10*30</f>
        <v>2250000</v>
      </c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</row>
    <row r="31" spans="2:46">
      <c r="B31" s="85"/>
      <c r="C31" s="86"/>
      <c r="D31" s="84"/>
      <c r="E31" s="124"/>
      <c r="F31" s="123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</row>
    <row r="32" spans="2:46">
      <c r="B32" s="85"/>
      <c r="C32" s="133" t="s">
        <v>44</v>
      </c>
      <c r="D32" s="84"/>
      <c r="E32" s="124"/>
      <c r="F32" s="123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</row>
    <row r="33" spans="2:46">
      <c r="B33" s="85"/>
      <c r="C33" s="132" t="s">
        <v>23</v>
      </c>
      <c r="D33" s="84" t="s">
        <v>162</v>
      </c>
      <c r="E33" s="148">
        <f>Summary!$D$9*30</f>
        <v>2250000</v>
      </c>
      <c r="F33" s="149">
        <f>Summary!$D$10*30</f>
        <v>2250000</v>
      </c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</row>
    <row r="34" spans="2:46">
      <c r="B34" s="85"/>
      <c r="C34" s="132" t="s">
        <v>18</v>
      </c>
      <c r="D34" s="84" t="s">
        <v>162</v>
      </c>
      <c r="E34" s="148">
        <f>Summary!$D$9*30</f>
        <v>2250000</v>
      </c>
      <c r="F34" s="149">
        <f>Summary!$D$10*30</f>
        <v>2250000</v>
      </c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</row>
    <row r="35" spans="2:46">
      <c r="B35" s="85"/>
      <c r="C35" s="132" t="s">
        <v>24</v>
      </c>
      <c r="D35" s="84" t="s">
        <v>162</v>
      </c>
      <c r="E35" s="148">
        <f>Summary!$D$9*30</f>
        <v>2250000</v>
      </c>
      <c r="F35" s="149">
        <f>Summary!$D$10*30</f>
        <v>2250000</v>
      </c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</row>
    <row r="36" spans="2:46">
      <c r="B36" s="85"/>
      <c r="C36" s="86"/>
      <c r="D36" s="84"/>
      <c r="E36" s="121"/>
      <c r="F36" s="116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</row>
    <row r="37" spans="2:46">
      <c r="B37" s="88" t="s">
        <v>45</v>
      </c>
      <c r="C37" s="76"/>
      <c r="D37" s="84"/>
      <c r="E37" s="120"/>
      <c r="F37" s="116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</row>
    <row r="38" spans="2:46">
      <c r="B38" s="85"/>
      <c r="C38" s="134" t="s">
        <v>46</v>
      </c>
      <c r="D38" s="84"/>
      <c r="E38" s="120"/>
      <c r="F38" s="116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</row>
    <row r="39" spans="2:46">
      <c r="B39" s="85"/>
      <c r="C39" s="132" t="s">
        <v>218</v>
      </c>
      <c r="D39" s="84" t="s">
        <v>160</v>
      </c>
      <c r="E39" s="148">
        <f>'Data Dasar'!E33</f>
        <v>50000</v>
      </c>
      <c r="F39" s="150">
        <v>0</v>
      </c>
      <c r="G39" s="72"/>
      <c r="H39" s="281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</row>
    <row r="40" spans="2:46">
      <c r="B40" s="85"/>
      <c r="C40" s="132" t="s">
        <v>451</v>
      </c>
      <c r="D40" s="84" t="s">
        <v>160</v>
      </c>
      <c r="E40" s="148">
        <v>20000</v>
      </c>
      <c r="F40" s="148">
        <v>20000</v>
      </c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</row>
    <row r="41" spans="2:46">
      <c r="B41" s="85"/>
      <c r="C41" s="132" t="s">
        <v>452</v>
      </c>
      <c r="D41" s="84" t="s">
        <v>160</v>
      </c>
      <c r="E41" s="148">
        <v>400</v>
      </c>
      <c r="F41" s="148">
        <v>400</v>
      </c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</row>
    <row r="42" spans="2:46">
      <c r="B42" s="85"/>
      <c r="C42" s="132" t="s">
        <v>454</v>
      </c>
      <c r="D42" s="84" t="s">
        <v>160</v>
      </c>
      <c r="E42" s="148">
        <v>5200</v>
      </c>
      <c r="F42" s="148">
        <v>5200</v>
      </c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</row>
    <row r="43" spans="2:46">
      <c r="B43" s="85"/>
      <c r="C43" s="132" t="s">
        <v>453</v>
      </c>
      <c r="D43" s="84" t="s">
        <v>163</v>
      </c>
      <c r="E43" s="148">
        <v>1600</v>
      </c>
      <c r="F43" s="148">
        <v>1600</v>
      </c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</row>
    <row r="44" spans="2:46">
      <c r="B44" s="85"/>
      <c r="C44" s="134" t="s">
        <v>47</v>
      </c>
      <c r="D44" s="84"/>
      <c r="E44" s="148"/>
      <c r="F44" s="148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</row>
    <row r="45" spans="2:46">
      <c r="B45" s="85"/>
      <c r="C45" s="132" t="s">
        <v>258</v>
      </c>
      <c r="D45" s="84" t="s">
        <v>160</v>
      </c>
      <c r="E45" s="148">
        <f>'Data Dasar'!$D85</f>
        <v>2300</v>
      </c>
      <c r="F45" s="148">
        <f>'Data Dasar'!$D85</f>
        <v>2300</v>
      </c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</row>
    <row r="46" spans="2:46">
      <c r="B46" s="85"/>
      <c r="C46" s="132" t="s">
        <v>257</v>
      </c>
      <c r="D46" s="84" t="s">
        <v>160</v>
      </c>
      <c r="E46" s="148">
        <f>'Data Dasar'!$D86</f>
        <v>1400</v>
      </c>
      <c r="F46" s="148">
        <f>'Data Dasar'!$D86</f>
        <v>1400</v>
      </c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</row>
    <row r="47" spans="2:46">
      <c r="B47" s="85"/>
      <c r="C47" s="132" t="s">
        <v>256</v>
      </c>
      <c r="D47" s="84" t="s">
        <v>160</v>
      </c>
      <c r="E47" s="148">
        <f>'Data Dasar'!$D87</f>
        <v>700</v>
      </c>
      <c r="F47" s="148">
        <f>'Data Dasar'!$D87</f>
        <v>700</v>
      </c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</row>
    <row r="48" spans="2:46">
      <c r="B48" s="85"/>
      <c r="C48" s="136" t="s">
        <v>403</v>
      </c>
      <c r="D48" s="84"/>
      <c r="E48" s="148"/>
      <c r="F48" s="149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</row>
    <row r="49" spans="2:46">
      <c r="B49" s="85"/>
      <c r="C49" s="132" t="s">
        <v>406</v>
      </c>
      <c r="D49" s="84" t="s">
        <v>163</v>
      </c>
      <c r="E49" s="148">
        <f>'Data Dasar'!E68</f>
        <v>150000000</v>
      </c>
      <c r="F49" s="149">
        <f>E49</f>
        <v>150000000</v>
      </c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</row>
    <row r="50" spans="2:46">
      <c r="B50" s="85"/>
      <c r="C50" s="132" t="s">
        <v>407</v>
      </c>
      <c r="D50" s="84" t="s">
        <v>163</v>
      </c>
      <c r="E50" s="148">
        <f>'Data Dasar'!E69</f>
        <v>125000000</v>
      </c>
      <c r="F50" s="149">
        <f>E50</f>
        <v>125000000</v>
      </c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</row>
    <row r="51" spans="2:46">
      <c r="B51" s="85"/>
      <c r="C51" s="134" t="s">
        <v>49</v>
      </c>
      <c r="D51" s="84"/>
      <c r="E51" s="148"/>
      <c r="F51" s="150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</row>
    <row r="52" spans="2:46">
      <c r="B52" s="85"/>
      <c r="C52" s="132" t="s">
        <v>400</v>
      </c>
      <c r="D52" s="84" t="s">
        <v>161</v>
      </c>
      <c r="E52" s="148">
        <f>10%*E69</f>
        <v>159765.54902318685</v>
      </c>
      <c r="F52" s="150">
        <v>0</v>
      </c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</row>
    <row r="53" spans="2:46">
      <c r="B53" s="85"/>
      <c r="C53" s="132" t="s">
        <v>401</v>
      </c>
      <c r="D53" s="84" t="s">
        <v>161</v>
      </c>
      <c r="E53" s="148">
        <f t="shared" ref="E53:E54" si="1">10%*E70</f>
        <v>159765.54902318685</v>
      </c>
      <c r="F53" s="150">
        <v>0</v>
      </c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</row>
    <row r="54" spans="2:46">
      <c r="B54" s="85"/>
      <c r="C54" s="132" t="s">
        <v>402</v>
      </c>
      <c r="D54" s="84" t="s">
        <v>161</v>
      </c>
      <c r="E54" s="148">
        <f t="shared" si="1"/>
        <v>159765.54902318685</v>
      </c>
      <c r="F54" s="150">
        <v>0</v>
      </c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</row>
    <row r="55" spans="2:46">
      <c r="B55" s="85"/>
      <c r="C55" s="132" t="s">
        <v>408</v>
      </c>
      <c r="D55" s="84" t="s">
        <v>161</v>
      </c>
      <c r="E55" s="148">
        <f>'Data Dasar'!E42*Summary!D7</f>
        <v>165392</v>
      </c>
      <c r="F55" s="150">
        <v>0</v>
      </c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</row>
    <row r="56" spans="2:46">
      <c r="B56" s="85"/>
      <c r="C56" s="132" t="s">
        <v>409</v>
      </c>
      <c r="D56" s="84" t="s">
        <v>161</v>
      </c>
      <c r="E56" s="148">
        <f>'Data Dasar'!E43*Summary!D7</f>
        <v>134381</v>
      </c>
      <c r="F56" s="150">
        <v>0</v>
      </c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</row>
    <row r="57" spans="2:46">
      <c r="B57" s="85"/>
      <c r="C57" s="132" t="s">
        <v>410</v>
      </c>
      <c r="D57" s="84" t="s">
        <v>161</v>
      </c>
      <c r="E57" s="148">
        <f>'Data Dasar'!E44*Summary!D7</f>
        <v>186066</v>
      </c>
      <c r="F57" s="150">
        <v>0</v>
      </c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</row>
    <row r="58" spans="2:46">
      <c r="B58" s="85"/>
      <c r="C58" s="132" t="s">
        <v>1</v>
      </c>
      <c r="D58" s="84" t="s">
        <v>160</v>
      </c>
      <c r="E58" s="148">
        <f>'Data Dasar'!E45</f>
        <v>4000</v>
      </c>
      <c r="F58" s="150">
        <v>0</v>
      </c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2"/>
      <c r="AS58" s="72"/>
      <c r="AT58" s="72"/>
    </row>
    <row r="59" spans="2:46">
      <c r="B59" s="85"/>
      <c r="C59" s="132" t="s">
        <v>50</v>
      </c>
      <c r="D59" s="84" t="s">
        <v>164</v>
      </c>
      <c r="E59" s="148">
        <f>'Data Dasar'!E48</f>
        <v>19600000</v>
      </c>
      <c r="F59" s="126">
        <v>0</v>
      </c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2"/>
      <c r="AS59" s="72"/>
      <c r="AT59" s="72"/>
    </row>
    <row r="60" spans="2:46">
      <c r="B60" s="85"/>
      <c r="C60" s="134" t="s">
        <v>51</v>
      </c>
      <c r="D60" s="84" t="s">
        <v>165</v>
      </c>
      <c r="E60" s="127">
        <f>'Data Dasar'!$E$90</f>
        <v>0.03</v>
      </c>
      <c r="F60" s="128">
        <v>0</v>
      </c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2"/>
      <c r="AT60" s="72"/>
    </row>
    <row r="61" spans="2:46">
      <c r="B61" s="85"/>
      <c r="C61" s="134" t="s">
        <v>52</v>
      </c>
      <c r="D61" s="84" t="s">
        <v>165</v>
      </c>
      <c r="E61" s="127">
        <v>0.3</v>
      </c>
      <c r="F61" s="128">
        <v>0.3</v>
      </c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</row>
    <row r="62" spans="2:46">
      <c r="B62" s="85"/>
      <c r="C62" s="86"/>
      <c r="D62" s="84" t="s">
        <v>0</v>
      </c>
      <c r="E62" s="120"/>
      <c r="F62" s="116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</row>
    <row r="63" spans="2:46">
      <c r="B63" s="91" t="s">
        <v>54</v>
      </c>
      <c r="C63" s="86"/>
      <c r="D63" s="84"/>
      <c r="E63" s="120"/>
      <c r="F63" s="116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2"/>
      <c r="AS63" s="72"/>
      <c r="AT63" s="72"/>
    </row>
    <row r="64" spans="2:46">
      <c r="B64" s="85"/>
      <c r="C64" s="134" t="s">
        <v>55</v>
      </c>
      <c r="D64" s="84" t="s">
        <v>42</v>
      </c>
      <c r="E64" s="121"/>
      <c r="F64" s="116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</row>
    <row r="65" spans="2:46">
      <c r="B65" s="85"/>
      <c r="C65" s="134" t="s">
        <v>166</v>
      </c>
      <c r="D65" s="84" t="s">
        <v>42</v>
      </c>
      <c r="E65" s="121"/>
      <c r="F65" s="116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</row>
    <row r="66" spans="2:46">
      <c r="B66" s="85"/>
      <c r="C66" s="134" t="s">
        <v>167</v>
      </c>
      <c r="D66" s="84" t="s">
        <v>42</v>
      </c>
      <c r="E66" s="121"/>
      <c r="F66" s="116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</row>
    <row r="67" spans="2:46">
      <c r="B67" s="85"/>
      <c r="C67" s="86"/>
      <c r="D67" s="84"/>
      <c r="E67" s="120"/>
      <c r="F67" s="116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</row>
    <row r="68" spans="2:46">
      <c r="B68" s="223" t="s">
        <v>56</v>
      </c>
      <c r="C68" s="224"/>
      <c r="D68" s="225"/>
      <c r="E68" s="226"/>
      <c r="F68" s="227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</row>
    <row r="69" spans="2:46" ht="14.1" customHeight="1">
      <c r="B69" s="91"/>
      <c r="C69" s="92" t="s">
        <v>331</v>
      </c>
      <c r="D69" s="93" t="s">
        <v>161</v>
      </c>
      <c r="E69" s="148">
        <f>Summary!D13</f>
        <v>1597655.4902318683</v>
      </c>
      <c r="F69" s="151">
        <f>Summary!D14</f>
        <v>1987241.5971068088</v>
      </c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</row>
    <row r="70" spans="2:46" ht="14.1" customHeight="1">
      <c r="B70" s="91"/>
      <c r="C70" s="92" t="s">
        <v>324</v>
      </c>
      <c r="D70" s="93" t="s">
        <v>161</v>
      </c>
      <c r="E70" s="148">
        <f>E69</f>
        <v>1597655.4902318683</v>
      </c>
      <c r="F70" s="151">
        <f>F69</f>
        <v>1987241.5971068088</v>
      </c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</row>
    <row r="71" spans="2:46" ht="14.1" customHeight="1">
      <c r="B71" s="91"/>
      <c r="C71" s="92" t="s">
        <v>332</v>
      </c>
      <c r="D71" s="93" t="s">
        <v>161</v>
      </c>
      <c r="E71" s="148">
        <f>E69</f>
        <v>1597655.4902318683</v>
      </c>
      <c r="F71" s="151">
        <f>F69</f>
        <v>1987241.5971068088</v>
      </c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</row>
    <row r="72" spans="2:46" ht="14.1" customHeight="1">
      <c r="B72" s="91"/>
      <c r="C72" s="92" t="s">
        <v>89</v>
      </c>
      <c r="D72" s="93"/>
      <c r="E72" s="121"/>
      <c r="F72" s="116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</row>
    <row r="73" spans="2:46" ht="14.1" customHeight="1" thickBot="1">
      <c r="B73" s="138"/>
      <c r="C73" s="139"/>
      <c r="D73" s="140"/>
      <c r="E73" s="141"/>
      <c r="F73" s="14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</row>
    <row r="74" spans="2:46">
      <c r="B74" s="94"/>
      <c r="D74" s="73"/>
      <c r="E74" s="137"/>
      <c r="F74" s="110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</row>
    <row r="75" spans="2:46">
      <c r="B75" s="94"/>
      <c r="D75" s="73"/>
      <c r="E75" s="129"/>
      <c r="F75" s="110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</row>
    <row r="76" spans="2:46">
      <c r="B76" s="94"/>
      <c r="D76" s="73"/>
      <c r="E76" s="129"/>
      <c r="F76" s="110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</row>
    <row r="77" spans="2:46">
      <c r="B77" s="94"/>
      <c r="D77" s="73"/>
      <c r="E77" s="129"/>
      <c r="F77" s="110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</row>
    <row r="78" spans="2:46">
      <c r="B78" s="94"/>
      <c r="D78" s="73"/>
      <c r="E78" s="129"/>
      <c r="F78" s="110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</row>
    <row r="79" spans="2:46">
      <c r="B79" s="94"/>
      <c r="D79" s="73"/>
      <c r="E79" s="129"/>
      <c r="F79" s="110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</row>
    <row r="80" spans="2:46">
      <c r="B80" s="94"/>
      <c r="D80" s="73"/>
      <c r="E80" s="129"/>
      <c r="F80" s="110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</row>
    <row r="81" spans="2:46">
      <c r="B81" s="94"/>
      <c r="E81" s="129"/>
      <c r="F81" s="110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</row>
    <row r="82" spans="2:46">
      <c r="B82" s="95"/>
      <c r="E82" s="129"/>
      <c r="F82" s="110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</row>
    <row r="83" spans="2:46">
      <c r="B83" s="95"/>
      <c r="E83" s="129"/>
      <c r="F83" s="110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</row>
    <row r="84" spans="2:46">
      <c r="B84" s="94"/>
      <c r="C84" s="76"/>
      <c r="E84" s="130"/>
      <c r="F84" s="110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</row>
    <row r="85" spans="2:46">
      <c r="B85" s="94"/>
      <c r="C85" s="76"/>
      <c r="E85" s="129"/>
      <c r="F85" s="110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</row>
    <row r="86" spans="2:46">
      <c r="B86" s="94"/>
      <c r="C86" s="76"/>
      <c r="E86" s="110"/>
      <c r="F86" s="110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</row>
    <row r="87" spans="2:46">
      <c r="B87" s="94"/>
      <c r="C87" s="76"/>
      <c r="E87" s="110"/>
      <c r="F87" s="110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</row>
    <row r="88" spans="2:46">
      <c r="B88" s="94"/>
      <c r="C88" s="76"/>
      <c r="E88" s="110"/>
      <c r="F88" s="110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</row>
    <row r="89" spans="2:46">
      <c r="B89" s="94"/>
      <c r="C89" s="76"/>
      <c r="E89" s="110"/>
      <c r="F89" s="110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</row>
    <row r="90" spans="2:46">
      <c r="B90" s="94"/>
      <c r="C90" s="76"/>
      <c r="E90" s="110"/>
      <c r="F90" s="110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</row>
    <row r="91" spans="2:46">
      <c r="B91" s="94"/>
      <c r="C91" s="76"/>
      <c r="E91" s="110"/>
      <c r="F91" s="110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</row>
    <row r="92" spans="2:46">
      <c r="B92" s="94"/>
      <c r="C92" s="76"/>
      <c r="E92" s="110"/>
      <c r="F92" s="110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</row>
    <row r="93" spans="2:46">
      <c r="B93" s="94"/>
      <c r="C93" s="76"/>
      <c r="E93" s="110"/>
      <c r="F93" s="110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</row>
    <row r="94" spans="2:46">
      <c r="B94" s="94"/>
      <c r="C94" s="76"/>
      <c r="E94" s="110"/>
      <c r="F94" s="110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</row>
    <row r="95" spans="2:46">
      <c r="B95" s="94"/>
      <c r="C95" s="76"/>
      <c r="E95" s="110"/>
      <c r="F95" s="110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</row>
    <row r="96" spans="2:46">
      <c r="B96" s="94"/>
      <c r="C96" s="76"/>
      <c r="E96" s="110"/>
      <c r="F96" s="110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</row>
    <row r="97" spans="2:46">
      <c r="B97" s="94"/>
      <c r="C97" s="76"/>
      <c r="E97" s="110"/>
      <c r="F97" s="110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</row>
    <row r="98" spans="2:46">
      <c r="B98" s="94"/>
      <c r="C98" s="76"/>
      <c r="E98" s="110"/>
      <c r="F98" s="110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</row>
    <row r="99" spans="2:46">
      <c r="B99" s="94"/>
      <c r="C99" s="76"/>
      <c r="E99" s="110"/>
      <c r="F99" s="110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</row>
    <row r="100" spans="2:46">
      <c r="B100" s="94"/>
      <c r="C100" s="76"/>
      <c r="E100" s="110"/>
      <c r="F100" s="110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</row>
    <row r="101" spans="2:46">
      <c r="B101" s="94"/>
      <c r="C101" s="76"/>
      <c r="E101" s="110"/>
      <c r="F101" s="110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</row>
    <row r="102" spans="2:46">
      <c r="B102" s="94"/>
      <c r="C102" s="76"/>
      <c r="E102" s="110"/>
      <c r="F102" s="110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</row>
    <row r="103" spans="2:46">
      <c r="B103" s="94"/>
      <c r="C103" s="76"/>
      <c r="E103" s="110"/>
      <c r="F103" s="110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</row>
    <row r="104" spans="2:46">
      <c r="B104" s="94"/>
      <c r="C104" s="76"/>
      <c r="E104" s="110"/>
      <c r="F104" s="110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</row>
    <row r="105" spans="2:46">
      <c r="B105" s="94"/>
      <c r="C105" s="76"/>
      <c r="E105" s="110"/>
      <c r="F105" s="110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</row>
    <row r="106" spans="2:46">
      <c r="B106" s="94"/>
      <c r="C106" s="76"/>
      <c r="E106" s="110"/>
      <c r="F106" s="110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</row>
    <row r="107" spans="2:46">
      <c r="B107" s="94"/>
      <c r="C107" s="76"/>
      <c r="E107" s="130"/>
      <c r="F107" s="110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</row>
    <row r="108" spans="2:46">
      <c r="B108" s="94"/>
      <c r="C108" s="76"/>
      <c r="E108" s="130"/>
      <c r="F108" s="110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</row>
    <row r="109" spans="2:46">
      <c r="B109" s="94"/>
      <c r="C109" s="76"/>
      <c r="E109" s="130"/>
      <c r="F109" s="110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</row>
    <row r="110" spans="2:46">
      <c r="B110" s="94"/>
      <c r="C110" s="76"/>
      <c r="E110" s="130"/>
      <c r="F110" s="110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</row>
    <row r="111" spans="2:46">
      <c r="B111" s="94"/>
      <c r="C111" s="76"/>
      <c r="E111" s="130"/>
      <c r="F111" s="110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</row>
    <row r="112" spans="2:46">
      <c r="B112" s="94"/>
      <c r="C112" s="76"/>
      <c r="E112" s="130"/>
      <c r="F112" s="110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</row>
    <row r="113" spans="2:46">
      <c r="B113" s="94"/>
      <c r="C113" s="76"/>
      <c r="E113" s="130"/>
      <c r="F113" s="110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</row>
    <row r="114" spans="2:46">
      <c r="B114" s="94"/>
      <c r="C114" s="76"/>
      <c r="E114" s="130"/>
      <c r="F114" s="110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</row>
    <row r="115" spans="2:46">
      <c r="B115" s="94"/>
      <c r="C115" s="76"/>
      <c r="E115" s="130"/>
      <c r="F115" s="110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</row>
    <row r="116" spans="2:46">
      <c r="B116" s="94"/>
      <c r="C116" s="76"/>
      <c r="E116" s="130"/>
      <c r="F116" s="110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</row>
    <row r="117" spans="2:46">
      <c r="B117" s="94"/>
      <c r="C117" s="76"/>
      <c r="E117" s="130"/>
      <c r="F117" s="110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</row>
    <row r="118" spans="2:46">
      <c r="B118" s="94"/>
      <c r="C118" s="76"/>
      <c r="E118" s="130"/>
      <c r="F118" s="110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</row>
    <row r="119" spans="2:46">
      <c r="B119" s="94"/>
      <c r="C119" s="76"/>
      <c r="E119" s="130"/>
      <c r="F119" s="110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</row>
    <row r="120" spans="2:46">
      <c r="B120" s="94"/>
      <c r="C120" s="76"/>
      <c r="E120" s="130"/>
      <c r="F120" s="110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</row>
    <row r="121" spans="2:46">
      <c r="B121" s="94"/>
      <c r="C121" s="76"/>
      <c r="E121" s="130"/>
      <c r="F121" s="110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</row>
    <row r="122" spans="2:46">
      <c r="B122" s="94"/>
      <c r="C122" s="76"/>
      <c r="E122" s="130"/>
      <c r="F122" s="110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</row>
    <row r="123" spans="2:46">
      <c r="B123" s="94"/>
      <c r="C123" s="76"/>
      <c r="E123" s="130"/>
      <c r="F123" s="110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</row>
    <row r="124" spans="2:46">
      <c r="B124" s="94"/>
      <c r="C124" s="76"/>
      <c r="E124" s="130"/>
      <c r="F124" s="110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</row>
    <row r="125" spans="2:46">
      <c r="B125" s="94"/>
      <c r="C125" s="76"/>
      <c r="E125" s="130"/>
      <c r="F125" s="110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</row>
    <row r="126" spans="2:46">
      <c r="B126" s="94"/>
      <c r="C126" s="76"/>
      <c r="E126" s="130"/>
      <c r="F126" s="110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</row>
    <row r="127" spans="2:46">
      <c r="B127" s="94"/>
      <c r="C127" s="76"/>
      <c r="E127" s="130"/>
      <c r="F127" s="110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</row>
    <row r="128" spans="2:46">
      <c r="B128" s="94"/>
      <c r="C128" s="76"/>
      <c r="E128" s="130"/>
      <c r="F128" s="110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</row>
    <row r="129" spans="2:46">
      <c r="B129" s="94"/>
      <c r="C129" s="76"/>
      <c r="E129" s="130"/>
      <c r="F129" s="110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</row>
    <row r="130" spans="2:46">
      <c r="C130" s="76"/>
      <c r="E130" s="130"/>
      <c r="F130" s="110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</row>
    <row r="131" spans="2:46">
      <c r="B131" s="72"/>
      <c r="C131" s="76"/>
      <c r="E131" s="130"/>
      <c r="F131" s="110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</row>
    <row r="132" spans="2:46">
      <c r="B132" s="72"/>
      <c r="C132" s="76"/>
      <c r="E132" s="130"/>
      <c r="F132" s="110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</row>
    <row r="133" spans="2:46">
      <c r="B133" s="72"/>
      <c r="C133" s="76"/>
      <c r="E133" s="130"/>
      <c r="F133" s="110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</row>
    <row r="134" spans="2:46">
      <c r="B134" s="72"/>
      <c r="C134" s="76"/>
      <c r="E134" s="130"/>
      <c r="F134" s="110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</row>
    <row r="135" spans="2:46">
      <c r="B135" s="72"/>
      <c r="C135" s="76"/>
      <c r="E135" s="130"/>
      <c r="F135" s="110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</row>
    <row r="136" spans="2:46">
      <c r="B136" s="72"/>
      <c r="E136" s="130"/>
      <c r="F136" s="110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</row>
    <row r="137" spans="2:46">
      <c r="B137" s="72"/>
      <c r="E137" s="130"/>
      <c r="F137" s="110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</row>
    <row r="138" spans="2:46">
      <c r="B138" s="72"/>
      <c r="E138" s="130"/>
      <c r="F138" s="110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</row>
    <row r="139" spans="2:46">
      <c r="B139" s="72"/>
      <c r="E139" s="130"/>
      <c r="F139" s="110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</row>
    <row r="140" spans="2:46">
      <c r="B140" s="72"/>
      <c r="E140" s="130"/>
      <c r="F140" s="110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</row>
    <row r="141" spans="2:46">
      <c r="B141" s="72"/>
      <c r="E141" s="130"/>
      <c r="F141" s="110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</row>
    <row r="142" spans="2:46">
      <c r="B142" s="72"/>
      <c r="E142" s="130"/>
      <c r="F142" s="110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</row>
    <row r="143" spans="2:46">
      <c r="B143" s="72"/>
      <c r="E143" s="130"/>
      <c r="F143" s="110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</row>
    <row r="144" spans="2:46">
      <c r="B144" s="72"/>
      <c r="E144" s="130"/>
      <c r="F144" s="110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</row>
    <row r="145" spans="2:46">
      <c r="B145" s="72"/>
      <c r="E145" s="130"/>
      <c r="F145" s="110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</row>
    <row r="146" spans="2:46">
      <c r="B146" s="72"/>
      <c r="E146" s="130"/>
      <c r="F146" s="110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</row>
    <row r="147" spans="2:46">
      <c r="B147" s="72"/>
      <c r="E147" s="130"/>
      <c r="F147" s="110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</row>
    <row r="148" spans="2:46">
      <c r="B148" s="72"/>
      <c r="E148" s="130"/>
      <c r="F148" s="110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</row>
    <row r="149" spans="2:46">
      <c r="B149" s="72"/>
      <c r="E149" s="130"/>
      <c r="F149" s="110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</row>
    <row r="150" spans="2:46">
      <c r="B150" s="72"/>
      <c r="E150" s="130"/>
      <c r="F150" s="110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</row>
    <row r="151" spans="2:46">
      <c r="B151" s="72"/>
      <c r="E151" s="130"/>
      <c r="F151" s="110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</row>
    <row r="152" spans="2:46">
      <c r="B152" s="72"/>
      <c r="E152" s="130"/>
      <c r="F152" s="110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</row>
    <row r="153" spans="2:46">
      <c r="B153" s="72"/>
      <c r="E153" s="130"/>
      <c r="F153" s="110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</row>
    <row r="154" spans="2:46">
      <c r="B154" s="72"/>
      <c r="E154" s="130"/>
      <c r="F154" s="110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</row>
    <row r="155" spans="2:46">
      <c r="B155" s="72"/>
      <c r="E155" s="130"/>
      <c r="F155" s="110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</row>
    <row r="156" spans="2:46">
      <c r="B156" s="72"/>
      <c r="E156" s="130"/>
      <c r="F156" s="110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</row>
    <row r="157" spans="2:46">
      <c r="B157" s="72"/>
      <c r="E157" s="130"/>
      <c r="F157" s="110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</row>
    <row r="158" spans="2:46">
      <c r="B158" s="72"/>
      <c r="E158" s="130"/>
      <c r="F158" s="110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</row>
    <row r="159" spans="2:46">
      <c r="B159" s="72"/>
      <c r="E159" s="130"/>
      <c r="F159" s="110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</row>
    <row r="160" spans="2:46">
      <c r="B160" s="72"/>
      <c r="E160" s="130"/>
      <c r="F160" s="110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</row>
    <row r="161" spans="2:46">
      <c r="B161" s="72"/>
      <c r="E161" s="130"/>
      <c r="F161" s="110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</row>
    <row r="162" spans="2:46">
      <c r="B162" s="72"/>
      <c r="E162" s="130"/>
      <c r="F162" s="110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</row>
    <row r="163" spans="2:46">
      <c r="B163" s="72"/>
      <c r="E163" s="130"/>
      <c r="F163" s="110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</row>
    <row r="164" spans="2:46">
      <c r="B164" s="72"/>
      <c r="E164" s="130"/>
      <c r="F164" s="110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</row>
    <row r="165" spans="2:46">
      <c r="B165" s="72"/>
      <c r="E165" s="130"/>
      <c r="F165" s="110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</row>
    <row r="166" spans="2:46">
      <c r="B166" s="72"/>
      <c r="E166" s="130"/>
      <c r="F166" s="110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</row>
    <row r="167" spans="2:46">
      <c r="B167" s="72"/>
      <c r="E167" s="130"/>
      <c r="F167" s="110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</row>
    <row r="168" spans="2:46">
      <c r="B168" s="72"/>
      <c r="E168" s="130"/>
      <c r="F168" s="110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</row>
    <row r="169" spans="2:46">
      <c r="B169" s="72"/>
      <c r="E169" s="130"/>
      <c r="F169" s="110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</row>
    <row r="170" spans="2:46">
      <c r="B170" s="72"/>
      <c r="E170" s="130"/>
      <c r="F170" s="110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</row>
    <row r="171" spans="2:46">
      <c r="B171" s="72"/>
      <c r="E171" s="130"/>
      <c r="F171" s="110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</row>
    <row r="172" spans="2:46">
      <c r="B172" s="72"/>
      <c r="E172" s="130"/>
      <c r="F172" s="110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</row>
    <row r="173" spans="2:46">
      <c r="B173" s="72"/>
      <c r="E173" s="130"/>
      <c r="F173" s="110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</row>
    <row r="174" spans="2:46">
      <c r="B174" s="72"/>
      <c r="E174" s="130"/>
      <c r="F174" s="110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</row>
    <row r="175" spans="2:46">
      <c r="B175" s="72"/>
      <c r="E175" s="130"/>
      <c r="F175" s="110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</row>
    <row r="176" spans="2:46">
      <c r="B176" s="72"/>
      <c r="E176" s="130"/>
      <c r="F176" s="110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</row>
    <row r="177" spans="2:46">
      <c r="B177" s="72"/>
      <c r="E177" s="130"/>
      <c r="F177" s="110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</row>
    <row r="178" spans="2:46">
      <c r="B178" s="72"/>
      <c r="E178" s="130"/>
      <c r="F178" s="110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</row>
    <row r="179" spans="2:46">
      <c r="B179" s="72"/>
      <c r="E179" s="130"/>
      <c r="F179" s="110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</row>
    <row r="180" spans="2:46">
      <c r="B180" s="72"/>
      <c r="E180" s="130"/>
      <c r="F180" s="110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</row>
    <row r="181" spans="2:46">
      <c r="B181" s="72"/>
      <c r="E181" s="130"/>
      <c r="F181" s="110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</row>
    <row r="182" spans="2:46">
      <c r="B182" s="72"/>
      <c r="E182" s="130"/>
      <c r="F182" s="110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</row>
    <row r="183" spans="2:46">
      <c r="B183" s="72"/>
      <c r="E183" s="130"/>
      <c r="F183" s="110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</row>
    <row r="184" spans="2:46">
      <c r="B184" s="72"/>
      <c r="E184" s="130"/>
      <c r="F184" s="110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</row>
    <row r="185" spans="2:46">
      <c r="B185" s="72"/>
      <c r="E185" s="130"/>
      <c r="F185" s="110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</row>
    <row r="186" spans="2:46">
      <c r="B186" s="72"/>
      <c r="E186" s="130"/>
      <c r="F186" s="110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</row>
    <row r="187" spans="2:46">
      <c r="B187" s="72"/>
      <c r="E187" s="130"/>
      <c r="F187" s="110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</row>
    <row r="188" spans="2:46">
      <c r="B188" s="72"/>
      <c r="E188" s="130"/>
      <c r="F188" s="110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</row>
    <row r="189" spans="2:46">
      <c r="B189" s="72"/>
      <c r="E189" s="130"/>
      <c r="F189" s="110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</row>
    <row r="190" spans="2:46">
      <c r="B190" s="72"/>
      <c r="E190" s="130"/>
      <c r="F190" s="110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</row>
    <row r="191" spans="2:46">
      <c r="B191" s="72"/>
      <c r="E191" s="130"/>
      <c r="F191" s="110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</row>
    <row r="192" spans="2:46">
      <c r="B192" s="72"/>
      <c r="E192" s="130"/>
      <c r="F192" s="110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</row>
    <row r="193" spans="2:46">
      <c r="B193" s="72"/>
      <c r="E193" s="130"/>
      <c r="F193" s="110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</row>
    <row r="194" spans="2:46">
      <c r="B194" s="72"/>
      <c r="E194" s="130"/>
      <c r="F194" s="110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</row>
    <row r="195" spans="2:46">
      <c r="B195" s="72"/>
      <c r="E195" s="130"/>
      <c r="F195" s="110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</row>
    <row r="196" spans="2:46">
      <c r="B196" s="72"/>
      <c r="E196" s="130"/>
      <c r="F196" s="110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</row>
    <row r="197" spans="2:46">
      <c r="B197" s="72"/>
      <c r="E197" s="130"/>
      <c r="F197" s="110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</row>
    <row r="198" spans="2:46">
      <c r="B198" s="72"/>
      <c r="E198" s="130"/>
      <c r="F198" s="110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</row>
  </sheetData>
  <mergeCells count="1">
    <mergeCell ref="B4:C4"/>
  </mergeCells>
  <pageMargins left="0.75" right="0.75" top="1" bottom="1" header="0.5" footer="0.5"/>
  <pageSetup orientation="portrait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dimension ref="A1:AG429"/>
  <sheetViews>
    <sheetView workbookViewId="0">
      <pane xSplit="2" ySplit="3" topLeftCell="C52" activePane="bottomRight" state="frozen"/>
      <selection pane="topRight" activeCell="C1" sqref="C1"/>
      <selection pane="bottomLeft" activeCell="A4" sqref="A4"/>
      <selection pane="bottomRight" activeCell="D38" sqref="D38"/>
    </sheetView>
  </sheetViews>
  <sheetFormatPr defaultColWidth="9.109375" defaultRowHeight="10.199999999999999"/>
  <cols>
    <col min="1" max="1" width="8" style="98" customWidth="1"/>
    <col min="2" max="2" width="32.6640625" style="98" customWidth="1"/>
    <col min="3" max="3" width="8.44140625" style="98" customWidth="1"/>
    <col min="4" max="4" width="14.44140625" style="98" bestFit="1" customWidth="1"/>
    <col min="5" max="5" width="13.44140625" style="98" bestFit="1" customWidth="1"/>
    <col min="6" max="6" width="14.44140625" style="98" bestFit="1" customWidth="1"/>
    <col min="7" max="15" width="13.44140625" style="98" bestFit="1" customWidth="1"/>
    <col min="16" max="17" width="12.33203125" style="98" bestFit="1" customWidth="1"/>
    <col min="18" max="33" width="13.44140625" style="98" bestFit="1" customWidth="1"/>
    <col min="34" max="16384" width="9.109375" style="98"/>
  </cols>
  <sheetData>
    <row r="1" spans="1:33" ht="18">
      <c r="A1" s="352" t="s">
        <v>350</v>
      </c>
      <c r="C1" s="228"/>
    </row>
    <row r="2" spans="1:33" ht="18.600000000000001" thickBot="1">
      <c r="A2" s="36" t="s">
        <v>351</v>
      </c>
      <c r="B2" s="177"/>
      <c r="C2" s="229"/>
      <c r="D2" s="230"/>
    </row>
    <row r="3" spans="1:33" ht="18.600000000000001" thickBot="1">
      <c r="A3" s="426" t="s">
        <v>29</v>
      </c>
      <c r="B3" s="427"/>
      <c r="C3" s="231" t="s">
        <v>90</v>
      </c>
      <c r="D3" s="232">
        <f>IOTable!D4</f>
        <v>1</v>
      </c>
      <c r="E3" s="232">
        <f>IOTable!E4</f>
        <v>2</v>
      </c>
      <c r="F3" s="232">
        <f>IOTable!F4</f>
        <v>3</v>
      </c>
      <c r="G3" s="232">
        <f>IOTable!G4</f>
        <v>4</v>
      </c>
      <c r="H3" s="232">
        <f>IOTable!H4</f>
        <v>5</v>
      </c>
      <c r="I3" s="232">
        <f>IOTable!I4</f>
        <v>6</v>
      </c>
      <c r="J3" s="232">
        <f>IOTable!J4</f>
        <v>7</v>
      </c>
      <c r="K3" s="232">
        <f>IOTable!K4</f>
        <v>8</v>
      </c>
      <c r="L3" s="232">
        <f>IOTable!L4</f>
        <v>9</v>
      </c>
      <c r="M3" s="232">
        <f>IOTable!M4</f>
        <v>10</v>
      </c>
      <c r="N3" s="232">
        <f>IOTable!N4</f>
        <v>11</v>
      </c>
      <c r="O3" s="232">
        <f>IOTable!O4</f>
        <v>12</v>
      </c>
      <c r="P3" s="232">
        <f>IOTable!P4</f>
        <v>13</v>
      </c>
      <c r="Q3" s="232">
        <f>IOTable!Q4</f>
        <v>14</v>
      </c>
      <c r="R3" s="232">
        <f>IOTable!R4</f>
        <v>15</v>
      </c>
      <c r="S3" s="232">
        <f>IOTable!S4</f>
        <v>16</v>
      </c>
      <c r="T3" s="232">
        <f>IOTable!T4</f>
        <v>17</v>
      </c>
      <c r="U3" s="232">
        <f>IOTable!U4</f>
        <v>18</v>
      </c>
      <c r="V3" s="232">
        <f>IOTable!V4</f>
        <v>19</v>
      </c>
      <c r="W3" s="232">
        <f>IOTable!W4</f>
        <v>20</v>
      </c>
      <c r="X3" s="232">
        <f>IOTable!X4</f>
        <v>21</v>
      </c>
      <c r="Y3" s="232">
        <f>IOTable!Y4</f>
        <v>22</v>
      </c>
      <c r="Z3" s="232">
        <f>IOTable!Z4</f>
        <v>23</v>
      </c>
      <c r="AA3" s="232">
        <f>IOTable!AA4</f>
        <v>24</v>
      </c>
      <c r="AB3" s="232">
        <f>IOTable!AB4</f>
        <v>25</v>
      </c>
      <c r="AC3" s="232">
        <f>IOTable!AC4</f>
        <v>26</v>
      </c>
      <c r="AD3" s="232">
        <f>IOTable!AD4</f>
        <v>27</v>
      </c>
      <c r="AE3" s="232">
        <f>IOTable!AE4</f>
        <v>28</v>
      </c>
      <c r="AF3" s="232">
        <f>IOTable!AF4</f>
        <v>29</v>
      </c>
      <c r="AG3" s="232">
        <f>IOTable!AG4</f>
        <v>30</v>
      </c>
    </row>
    <row r="4" spans="1:33" ht="18">
      <c r="A4" s="184" t="s">
        <v>30</v>
      </c>
      <c r="B4" s="233"/>
      <c r="C4" s="234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</row>
    <row r="5" spans="1:33" ht="15.6">
      <c r="A5" s="189" t="s">
        <v>31</v>
      </c>
      <c r="B5" s="236"/>
      <c r="C5" s="237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</row>
    <row r="6" spans="1:33" s="242" customFormat="1" ht="13.8">
      <c r="A6" s="238"/>
      <c r="B6" s="239" t="s">
        <v>32</v>
      </c>
      <c r="C6" s="240" t="s">
        <v>58</v>
      </c>
      <c r="D6" s="241">
        <f>IOTable!D7*'Price Table'!$E7</f>
        <v>65105272.719345905</v>
      </c>
      <c r="E6" s="241">
        <f>IOTable!E7*'Price Table'!$E7</f>
        <v>65105272.719345905</v>
      </c>
      <c r="F6" s="241">
        <f>IOTable!F7*'Price Table'!$E7</f>
        <v>65105272.719345905</v>
      </c>
      <c r="G6" s="241">
        <f>IOTable!G7*'Price Table'!$E7</f>
        <v>65105272.719345905</v>
      </c>
      <c r="H6" s="241">
        <f>IOTable!H7*'Price Table'!$E7</f>
        <v>65105272.719345905</v>
      </c>
      <c r="I6" s="241">
        <f>IOTable!I7*'Price Table'!$E7</f>
        <v>65105272.719345905</v>
      </c>
      <c r="J6" s="241">
        <f>IOTable!J7*'Price Table'!$E7</f>
        <v>65105272.719345905</v>
      </c>
      <c r="K6" s="241">
        <f>IOTable!K7*'Price Table'!$E7</f>
        <v>65105272.719345905</v>
      </c>
      <c r="L6" s="241">
        <f>IOTable!L7*'Price Table'!$E7</f>
        <v>65105272.719345905</v>
      </c>
      <c r="M6" s="241">
        <f>IOTable!M7*'Price Table'!$E7</f>
        <v>65105272.719345905</v>
      </c>
      <c r="N6" s="241">
        <f>IOTable!N7*'Price Table'!$E7</f>
        <v>65105272.719345905</v>
      </c>
      <c r="O6" s="241">
        <f>IOTable!O7*'Price Table'!$E7</f>
        <v>65105272.719345905</v>
      </c>
      <c r="P6" s="241">
        <f>IOTable!P7*'Price Table'!$E7</f>
        <v>65105272.719345905</v>
      </c>
      <c r="Q6" s="241">
        <f>IOTable!Q7*'Price Table'!$E7</f>
        <v>65105272.719345905</v>
      </c>
      <c r="R6" s="241">
        <f>IOTable!R7*'Price Table'!$E7</f>
        <v>65105272.719345905</v>
      </c>
      <c r="S6" s="241">
        <f>IOTable!S7*'Price Table'!$E7</f>
        <v>65105272.719345905</v>
      </c>
      <c r="T6" s="241">
        <f>IOTable!T7*'Price Table'!$E7</f>
        <v>65105272.719345905</v>
      </c>
      <c r="U6" s="241">
        <f>IOTable!U7*'Price Table'!$E7</f>
        <v>65105272.719345905</v>
      </c>
      <c r="V6" s="241">
        <f>IOTable!V7*'Price Table'!$E7</f>
        <v>65105272.719345905</v>
      </c>
      <c r="W6" s="241">
        <f>IOTable!W7*'Price Table'!$E7</f>
        <v>65105272.719345905</v>
      </c>
      <c r="X6" s="241">
        <f>IOTable!X7*'Price Table'!$E7</f>
        <v>65105272.719345905</v>
      </c>
      <c r="Y6" s="241">
        <f>IOTable!Y7*'Price Table'!$E7</f>
        <v>65105272.719345905</v>
      </c>
      <c r="Z6" s="241">
        <f>IOTable!Z7*'Price Table'!$E7</f>
        <v>65105272.719345905</v>
      </c>
      <c r="AA6" s="241">
        <f>IOTable!AA7*'Price Table'!$E7</f>
        <v>65105272.719345905</v>
      </c>
      <c r="AB6" s="241">
        <f>IOTable!AB7*'Price Table'!$E7</f>
        <v>65105272.719345905</v>
      </c>
      <c r="AC6" s="241">
        <f>IOTable!AC7*'Price Table'!$E7</f>
        <v>65105272.719345905</v>
      </c>
      <c r="AD6" s="241">
        <f>IOTable!AD7*'Price Table'!$E7</f>
        <v>65105272.719345905</v>
      </c>
      <c r="AE6" s="241">
        <f>IOTable!AE7*'Price Table'!$E7</f>
        <v>65105272.719345905</v>
      </c>
      <c r="AF6" s="241">
        <f>IOTable!AF7*'Price Table'!$E7</f>
        <v>65105272.719345905</v>
      </c>
      <c r="AG6" s="241">
        <f>IOTable!AG7*'Price Table'!$E7</f>
        <v>65105272.719345905</v>
      </c>
    </row>
    <row r="7" spans="1:33" s="242" customFormat="1" ht="13.8">
      <c r="A7" s="238"/>
      <c r="B7" s="239" t="s">
        <v>6</v>
      </c>
      <c r="C7" s="240" t="s">
        <v>58</v>
      </c>
      <c r="D7" s="241">
        <f>IOTable!D8*'Price Table'!$E8</f>
        <v>4606113.3172250073</v>
      </c>
      <c r="E7" s="241">
        <f>IOTable!E8*'Price Table'!$E8</f>
        <v>4606113.3172250073</v>
      </c>
      <c r="F7" s="241">
        <f>IOTable!F8*'Price Table'!$E8</f>
        <v>4606113.3172250073</v>
      </c>
      <c r="G7" s="241">
        <f>IOTable!G8*'Price Table'!$E8</f>
        <v>4606113.3172250073</v>
      </c>
      <c r="H7" s="241">
        <f>IOTable!H8*'Price Table'!$E8</f>
        <v>4606113.3172250073</v>
      </c>
      <c r="I7" s="241">
        <f>IOTable!I8*'Price Table'!$E8</f>
        <v>4606113.3172250073</v>
      </c>
      <c r="J7" s="241">
        <f>IOTable!J8*'Price Table'!$E8</f>
        <v>4606113.3172250073</v>
      </c>
      <c r="K7" s="241">
        <f>IOTable!K8*'Price Table'!$E8</f>
        <v>4606113.3172250073</v>
      </c>
      <c r="L7" s="241">
        <f>IOTable!L8*'Price Table'!$E8</f>
        <v>4606113.3172250073</v>
      </c>
      <c r="M7" s="241">
        <f>IOTable!M8*'Price Table'!$E8</f>
        <v>4606113.3172250073</v>
      </c>
      <c r="N7" s="241">
        <f>IOTable!N8*'Price Table'!$E8</f>
        <v>4606113.3172250073</v>
      </c>
      <c r="O7" s="241">
        <f>IOTable!O8*'Price Table'!$E8</f>
        <v>4606113.3172250073</v>
      </c>
      <c r="P7" s="241">
        <f>IOTable!P8*'Price Table'!$E8</f>
        <v>4606113.3172250073</v>
      </c>
      <c r="Q7" s="241">
        <f>IOTable!Q8*'Price Table'!$E8</f>
        <v>4606113.3172250073</v>
      </c>
      <c r="R7" s="241">
        <f>IOTable!R8*'Price Table'!$E8</f>
        <v>4606113.3172250073</v>
      </c>
      <c r="S7" s="241">
        <f>IOTable!S8*'Price Table'!$E8</f>
        <v>4606113.3172250073</v>
      </c>
      <c r="T7" s="241">
        <f>IOTable!T8*'Price Table'!$E8</f>
        <v>4606113.3172250073</v>
      </c>
      <c r="U7" s="241">
        <f>IOTable!U8*'Price Table'!$E8</f>
        <v>4606113.3172250073</v>
      </c>
      <c r="V7" s="241">
        <f>IOTable!V8*'Price Table'!$E8</f>
        <v>4606113.3172250073</v>
      </c>
      <c r="W7" s="241">
        <f>IOTable!W8*'Price Table'!$E8</f>
        <v>4606113.3172250073</v>
      </c>
      <c r="X7" s="241">
        <f>IOTable!X8*'Price Table'!$E8</f>
        <v>4606113.3172250073</v>
      </c>
      <c r="Y7" s="241">
        <f>IOTable!Y8*'Price Table'!$E8</f>
        <v>4606113.3172250073</v>
      </c>
      <c r="Z7" s="241">
        <f>IOTable!Z8*'Price Table'!$E8</f>
        <v>4606113.3172250073</v>
      </c>
      <c r="AA7" s="241">
        <f>IOTable!AA8*'Price Table'!$E8</f>
        <v>4606113.3172250073</v>
      </c>
      <c r="AB7" s="241">
        <f>IOTable!AB8*'Price Table'!$E8</f>
        <v>4606113.3172250073</v>
      </c>
      <c r="AC7" s="241">
        <f>IOTable!AC8*'Price Table'!$E8</f>
        <v>4606113.3172250073</v>
      </c>
      <c r="AD7" s="241">
        <f>IOTable!AD8*'Price Table'!$E8</f>
        <v>4606113.3172250073</v>
      </c>
      <c r="AE7" s="241">
        <f>IOTable!AE8*'Price Table'!$E8</f>
        <v>4606113.3172250073</v>
      </c>
      <c r="AF7" s="241">
        <f>IOTable!AF8*'Price Table'!$E8</f>
        <v>4606113.3172250073</v>
      </c>
      <c r="AG7" s="241">
        <f>IOTable!AG8*'Price Table'!$E8</f>
        <v>4606113.3172250073</v>
      </c>
    </row>
    <row r="8" spans="1:33" s="242" customFormat="1" ht="13.8">
      <c r="A8" s="238"/>
      <c r="B8" s="239" t="s">
        <v>7</v>
      </c>
      <c r="C8" s="240" t="s">
        <v>58</v>
      </c>
      <c r="D8" s="241">
        <f>IOTable!D9*'Price Table'!$E9</f>
        <v>805663.90471275477</v>
      </c>
      <c r="E8" s="241">
        <f>IOTable!E9*'Price Table'!$E9</f>
        <v>805663.90471275477</v>
      </c>
      <c r="F8" s="241">
        <f>IOTable!F9*'Price Table'!$E9</f>
        <v>805663.90471275477</v>
      </c>
      <c r="G8" s="241">
        <f>IOTable!G9*'Price Table'!$E9</f>
        <v>805663.90471275477</v>
      </c>
      <c r="H8" s="241">
        <f>IOTable!H9*'Price Table'!$E9</f>
        <v>805663.90471275477</v>
      </c>
      <c r="I8" s="241">
        <f>IOTable!I9*'Price Table'!$E9</f>
        <v>805663.90471275477</v>
      </c>
      <c r="J8" s="241">
        <f>IOTable!J9*'Price Table'!$E9</f>
        <v>805663.90471275477</v>
      </c>
      <c r="K8" s="241">
        <f>IOTable!K9*'Price Table'!$E9</f>
        <v>805663.90471275477</v>
      </c>
      <c r="L8" s="241">
        <f>IOTable!L9*'Price Table'!$E9</f>
        <v>805663.90471275477</v>
      </c>
      <c r="M8" s="241">
        <f>IOTable!M9*'Price Table'!$E9</f>
        <v>805663.90471275477</v>
      </c>
      <c r="N8" s="241">
        <f>IOTable!N9*'Price Table'!$E9</f>
        <v>805663.90471275477</v>
      </c>
      <c r="O8" s="241">
        <f>IOTable!O9*'Price Table'!$E9</f>
        <v>805663.90471275477</v>
      </c>
      <c r="P8" s="241">
        <f>IOTable!P9*'Price Table'!$E9</f>
        <v>805663.90471275477</v>
      </c>
      <c r="Q8" s="241">
        <f>IOTable!Q9*'Price Table'!$E9</f>
        <v>805663.90471275477</v>
      </c>
      <c r="R8" s="241">
        <f>IOTable!R9*'Price Table'!$E9</f>
        <v>805663.90471275477</v>
      </c>
      <c r="S8" s="241">
        <f>IOTable!S9*'Price Table'!$E9</f>
        <v>805663.90471275477</v>
      </c>
      <c r="T8" s="241">
        <f>IOTable!T9*'Price Table'!$E9</f>
        <v>805663.90471275477</v>
      </c>
      <c r="U8" s="241">
        <f>IOTable!U9*'Price Table'!$E9</f>
        <v>805663.90471275477</v>
      </c>
      <c r="V8" s="241">
        <f>IOTable!V9*'Price Table'!$E9</f>
        <v>805663.90471275477</v>
      </c>
      <c r="W8" s="241">
        <f>IOTable!W9*'Price Table'!$E9</f>
        <v>805663.90471275477</v>
      </c>
      <c r="X8" s="241">
        <f>IOTable!X9*'Price Table'!$E9</f>
        <v>805663.90471275477</v>
      </c>
      <c r="Y8" s="241">
        <f>IOTable!Y9*'Price Table'!$E9</f>
        <v>805663.90471275477</v>
      </c>
      <c r="Z8" s="241">
        <f>IOTable!Z9*'Price Table'!$E9</f>
        <v>805663.90471275477</v>
      </c>
      <c r="AA8" s="241">
        <f>IOTable!AA9*'Price Table'!$E9</f>
        <v>805663.90471275477</v>
      </c>
      <c r="AB8" s="241">
        <f>IOTable!AB9*'Price Table'!$E9</f>
        <v>805663.90471275477</v>
      </c>
      <c r="AC8" s="241">
        <f>IOTable!AC9*'Price Table'!$E9</f>
        <v>805663.90471275477</v>
      </c>
      <c r="AD8" s="241">
        <f>IOTable!AD9*'Price Table'!$E9</f>
        <v>805663.90471275477</v>
      </c>
      <c r="AE8" s="241">
        <f>IOTable!AE9*'Price Table'!$E9</f>
        <v>805663.90471275477</v>
      </c>
      <c r="AF8" s="241">
        <f>IOTable!AF9*'Price Table'!$E9</f>
        <v>805663.90471275477</v>
      </c>
      <c r="AG8" s="241">
        <f>IOTable!AG9*'Price Table'!$E9</f>
        <v>805663.90471275477</v>
      </c>
    </row>
    <row r="9" spans="1:33" s="242" customFormat="1" ht="13.8">
      <c r="A9" s="238"/>
      <c r="B9" s="239" t="s">
        <v>33</v>
      </c>
      <c r="C9" s="240" t="s">
        <v>58</v>
      </c>
      <c r="D9" s="241">
        <f>IOTable!D10*'Price Table'!$E10</f>
        <v>712145905</v>
      </c>
      <c r="E9" s="241">
        <f>IOTable!E10*'Price Table'!$E10</f>
        <v>712145905</v>
      </c>
      <c r="F9" s="241">
        <f>IOTable!F10*'Price Table'!$E10</f>
        <v>712145905</v>
      </c>
      <c r="G9" s="241">
        <f>IOTable!G10*'Price Table'!$E10</f>
        <v>712145905</v>
      </c>
      <c r="H9" s="241">
        <f>IOTable!H10*'Price Table'!$E10</f>
        <v>712145905</v>
      </c>
      <c r="I9" s="241">
        <f>IOTable!I10*'Price Table'!$E10</f>
        <v>712145905</v>
      </c>
      <c r="J9" s="241">
        <f>IOTable!J10*'Price Table'!$E10</f>
        <v>712145905</v>
      </c>
      <c r="K9" s="241">
        <f>IOTable!K10*'Price Table'!$E10</f>
        <v>712145905</v>
      </c>
      <c r="L9" s="241">
        <f>IOTable!L10*'Price Table'!$E10</f>
        <v>712145905</v>
      </c>
      <c r="M9" s="241">
        <f>IOTable!M10*'Price Table'!$E10</f>
        <v>712145905</v>
      </c>
      <c r="N9" s="241">
        <f>IOTable!N10*'Price Table'!$E10</f>
        <v>712145905</v>
      </c>
      <c r="O9" s="241">
        <f>IOTable!O10*'Price Table'!$E10</f>
        <v>712145905</v>
      </c>
      <c r="P9" s="241">
        <f>IOTable!P10*'Price Table'!$E10</f>
        <v>712145905</v>
      </c>
      <c r="Q9" s="241">
        <f>IOTable!Q10*'Price Table'!$E10</f>
        <v>712145905</v>
      </c>
      <c r="R9" s="241">
        <f>IOTable!R10*'Price Table'!$E10</f>
        <v>712145905</v>
      </c>
      <c r="S9" s="241">
        <f>IOTable!S10*'Price Table'!$E10</f>
        <v>712145905</v>
      </c>
      <c r="T9" s="241">
        <f>IOTable!T10*'Price Table'!$E10</f>
        <v>712145905</v>
      </c>
      <c r="U9" s="241">
        <f>IOTable!U10*'Price Table'!$E10</f>
        <v>712145905</v>
      </c>
      <c r="V9" s="241">
        <f>IOTable!V10*'Price Table'!$E10</f>
        <v>712145905</v>
      </c>
      <c r="W9" s="241">
        <f>IOTable!W10*'Price Table'!$E10</f>
        <v>712145905</v>
      </c>
      <c r="X9" s="241">
        <f>IOTable!X10*'Price Table'!$E10</f>
        <v>712145905</v>
      </c>
      <c r="Y9" s="241">
        <f>IOTable!Y10*'Price Table'!$E10</f>
        <v>712145905</v>
      </c>
      <c r="Z9" s="241">
        <f>IOTable!Z10*'Price Table'!$E10</f>
        <v>712145905</v>
      </c>
      <c r="AA9" s="241">
        <f>IOTable!AA10*'Price Table'!$E10</f>
        <v>712145905</v>
      </c>
      <c r="AB9" s="241">
        <f>IOTable!AB10*'Price Table'!$E10</f>
        <v>712145905</v>
      </c>
      <c r="AC9" s="241">
        <f>IOTable!AC10*'Price Table'!$E10</f>
        <v>712145905</v>
      </c>
      <c r="AD9" s="241">
        <f>IOTable!AD10*'Price Table'!$E10</f>
        <v>712145905</v>
      </c>
      <c r="AE9" s="241">
        <f>IOTable!AE10*'Price Table'!$E10</f>
        <v>712145905</v>
      </c>
      <c r="AF9" s="241">
        <f>IOTable!AF10*'Price Table'!$E10</f>
        <v>712145905</v>
      </c>
      <c r="AG9" s="241">
        <f>IOTable!AG10*'Price Table'!$E10</f>
        <v>712145905</v>
      </c>
    </row>
    <row r="10" spans="1:33" s="242" customFormat="1" ht="13.8">
      <c r="A10" s="238"/>
      <c r="B10" s="239" t="s">
        <v>3</v>
      </c>
      <c r="C10" s="240" t="s">
        <v>58</v>
      </c>
      <c r="D10" s="241">
        <f>IOTable!D11*'Price Table'!$E11</f>
        <v>36940258</v>
      </c>
      <c r="E10" s="241">
        <f>IOTable!E11*'Price Table'!$E11</f>
        <v>36940258</v>
      </c>
      <c r="F10" s="241">
        <f>IOTable!F11*'Price Table'!$E11</f>
        <v>36940258</v>
      </c>
      <c r="G10" s="241">
        <f>IOTable!G11*'Price Table'!$E11</f>
        <v>36940258</v>
      </c>
      <c r="H10" s="241">
        <f>IOTable!H11*'Price Table'!$E11</f>
        <v>36940258</v>
      </c>
      <c r="I10" s="241">
        <f>IOTable!I11*'Price Table'!$E11</f>
        <v>36940258</v>
      </c>
      <c r="J10" s="241">
        <f>IOTable!J11*'Price Table'!$E11</f>
        <v>36940258</v>
      </c>
      <c r="K10" s="241">
        <f>IOTable!K11*'Price Table'!$E11</f>
        <v>36940258</v>
      </c>
      <c r="L10" s="241">
        <f>IOTable!L11*'Price Table'!$E11</f>
        <v>36940258</v>
      </c>
      <c r="M10" s="241">
        <f>IOTable!M11*'Price Table'!$E11</f>
        <v>36940258</v>
      </c>
      <c r="N10" s="241">
        <f>IOTable!N11*'Price Table'!$E11</f>
        <v>36940258</v>
      </c>
      <c r="O10" s="241">
        <f>IOTable!O11*'Price Table'!$E11</f>
        <v>36940258</v>
      </c>
      <c r="P10" s="241">
        <f>IOTable!P11*'Price Table'!$E11</f>
        <v>36940258</v>
      </c>
      <c r="Q10" s="241">
        <f>IOTable!Q11*'Price Table'!$E11</f>
        <v>36940258</v>
      </c>
      <c r="R10" s="241">
        <f>IOTable!R11*'Price Table'!$E11</f>
        <v>36940258</v>
      </c>
      <c r="S10" s="241">
        <f>IOTable!S11*'Price Table'!$E11</f>
        <v>36940258</v>
      </c>
      <c r="T10" s="241">
        <f>IOTable!T11*'Price Table'!$E11</f>
        <v>36940258</v>
      </c>
      <c r="U10" s="241">
        <f>IOTable!U11*'Price Table'!$E11</f>
        <v>36940258</v>
      </c>
      <c r="V10" s="241">
        <f>IOTable!V11*'Price Table'!$E11</f>
        <v>36940258</v>
      </c>
      <c r="W10" s="241">
        <f>IOTable!W11*'Price Table'!$E11</f>
        <v>36940258</v>
      </c>
      <c r="X10" s="241">
        <f>IOTable!X11*'Price Table'!$E11</f>
        <v>36940258</v>
      </c>
      <c r="Y10" s="241">
        <f>IOTable!Y11*'Price Table'!$E11</f>
        <v>36940258</v>
      </c>
      <c r="Z10" s="241">
        <f>IOTable!Z11*'Price Table'!$E11</f>
        <v>36940258</v>
      </c>
      <c r="AA10" s="241">
        <f>IOTable!AA11*'Price Table'!$E11</f>
        <v>36940258</v>
      </c>
      <c r="AB10" s="241">
        <f>IOTable!AB11*'Price Table'!$E11</f>
        <v>36940258</v>
      </c>
      <c r="AC10" s="241">
        <f>IOTable!AC11*'Price Table'!$E11</f>
        <v>73880516</v>
      </c>
      <c r="AD10" s="241">
        <f>IOTable!AD11*'Price Table'!$E11</f>
        <v>110820774</v>
      </c>
      <c r="AE10" s="241">
        <f>IOTable!AE11*'Price Table'!$E11</f>
        <v>147761032</v>
      </c>
      <c r="AF10" s="241">
        <f>IOTable!AF11*'Price Table'!$E11</f>
        <v>184701290</v>
      </c>
      <c r="AG10" s="241">
        <f>IOTable!AG11*'Price Table'!$E11</f>
        <v>221641548</v>
      </c>
    </row>
    <row r="11" spans="1:33">
      <c r="A11" s="193"/>
      <c r="B11" s="243"/>
      <c r="C11" s="237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</row>
    <row r="12" spans="1:33" ht="15.6">
      <c r="A12" s="189" t="s">
        <v>35</v>
      </c>
      <c r="B12" s="244"/>
      <c r="C12" s="237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</row>
    <row r="13" spans="1:33" s="358" customFormat="1">
      <c r="A13" s="354"/>
      <c r="B13" s="355" t="s">
        <v>4</v>
      </c>
      <c r="C13" s="356" t="s">
        <v>58</v>
      </c>
      <c r="D13" s="357">
        <f>IOTable!D14*'Price Table'!$E14</f>
        <v>30460278650</v>
      </c>
      <c r="E13" s="357">
        <f>IOTable!E14*'Price Table'!$E14</f>
        <v>0</v>
      </c>
      <c r="F13" s="357">
        <f>IOTable!F14*'Price Table'!$E14</f>
        <v>0</v>
      </c>
      <c r="G13" s="357">
        <f>IOTable!G14*'Price Table'!$E14</f>
        <v>0</v>
      </c>
      <c r="H13" s="357">
        <f>IOTable!H14*'Price Table'!$E14</f>
        <v>0</v>
      </c>
      <c r="I13" s="357">
        <f>IOTable!I14*'Price Table'!$E14</f>
        <v>0</v>
      </c>
      <c r="J13" s="357">
        <f>IOTable!J14*'Price Table'!$E14</f>
        <v>0</v>
      </c>
      <c r="K13" s="357">
        <f>IOTable!K14*'Price Table'!$E14</f>
        <v>0</v>
      </c>
      <c r="L13" s="357">
        <f>IOTable!L14*'Price Table'!$E14</f>
        <v>0</v>
      </c>
      <c r="M13" s="357">
        <f>IOTable!M14*'Price Table'!$E14</f>
        <v>0</v>
      </c>
      <c r="N13" s="357">
        <f>IOTable!N14*'Price Table'!$E14</f>
        <v>30460278650</v>
      </c>
      <c r="O13" s="357">
        <f>IOTable!O14*'Price Table'!$E14</f>
        <v>0</v>
      </c>
      <c r="P13" s="357">
        <f>IOTable!P14*'Price Table'!$E14</f>
        <v>0</v>
      </c>
      <c r="Q13" s="357">
        <f>IOTable!Q14*'Price Table'!$E14</f>
        <v>0</v>
      </c>
      <c r="R13" s="357">
        <f>IOTable!R14*'Price Table'!$E14</f>
        <v>0</v>
      </c>
      <c r="S13" s="357">
        <f>IOTable!S14*'Price Table'!$E14</f>
        <v>0</v>
      </c>
      <c r="T13" s="357">
        <f>IOTable!T14*'Price Table'!$E14</f>
        <v>0</v>
      </c>
      <c r="U13" s="357">
        <f>IOTable!U14*'Price Table'!$E14</f>
        <v>0</v>
      </c>
      <c r="V13" s="357">
        <f>IOTable!V14*'Price Table'!$E14</f>
        <v>0</v>
      </c>
      <c r="W13" s="357">
        <f>IOTable!W14*'Price Table'!$E14</f>
        <v>0</v>
      </c>
      <c r="X13" s="357">
        <f>IOTable!X14*'Price Table'!$E14</f>
        <v>0</v>
      </c>
      <c r="Y13" s="357">
        <f>IOTable!Y14*'Price Table'!$E14</f>
        <v>30460278650</v>
      </c>
      <c r="Z13" s="357">
        <f>IOTable!Z14*'Price Table'!$E14</f>
        <v>0</v>
      </c>
      <c r="AA13" s="357">
        <f>IOTable!AA14*'Price Table'!$E14</f>
        <v>0</v>
      </c>
      <c r="AB13" s="357">
        <f>IOTable!AB14*'Price Table'!$E14</f>
        <v>0</v>
      </c>
      <c r="AC13" s="357">
        <f>IOTable!AC14*'Price Table'!$E14</f>
        <v>0</v>
      </c>
      <c r="AD13" s="357">
        <f>IOTable!AD14*'Price Table'!$E14</f>
        <v>0</v>
      </c>
      <c r="AE13" s="357">
        <f>IOTable!AE14*'Price Table'!$E14</f>
        <v>0</v>
      </c>
      <c r="AF13" s="357">
        <f>IOTable!AF14*'Price Table'!$E14</f>
        <v>0</v>
      </c>
      <c r="AG13" s="357">
        <f>IOTable!AG14*'Price Table'!$E14</f>
        <v>0</v>
      </c>
    </row>
    <row r="14" spans="1:33" s="358" customFormat="1">
      <c r="A14" s="354"/>
      <c r="B14" s="355" t="s">
        <v>5</v>
      </c>
      <c r="C14" s="356" t="s">
        <v>58</v>
      </c>
      <c r="D14" s="357">
        <f>IOTable!D15*'Price Table'!$E15</f>
        <v>349501200</v>
      </c>
      <c r="E14" s="357">
        <f>IOTable!E15*'Price Table'!$E15</f>
        <v>0</v>
      </c>
      <c r="F14" s="357">
        <f>IOTable!F15*'Price Table'!$E15</f>
        <v>0</v>
      </c>
      <c r="G14" s="357">
        <f>IOTable!G15*'Price Table'!$E15</f>
        <v>0</v>
      </c>
      <c r="H14" s="357">
        <f>IOTable!H15*'Price Table'!$E15</f>
        <v>0</v>
      </c>
      <c r="I14" s="357">
        <f>IOTable!I15*'Price Table'!$E15</f>
        <v>349501200</v>
      </c>
      <c r="J14" s="357">
        <f>IOTable!J15*'Price Table'!$E15</f>
        <v>0</v>
      </c>
      <c r="K14" s="357">
        <f>IOTable!K15*'Price Table'!$E15</f>
        <v>0</v>
      </c>
      <c r="L14" s="357">
        <f>IOTable!L15*'Price Table'!$E15</f>
        <v>0</v>
      </c>
      <c r="M14" s="357">
        <f>IOTable!M15*'Price Table'!$E15</f>
        <v>0</v>
      </c>
      <c r="N14" s="357">
        <f>IOTable!N15*'Price Table'!$E15</f>
        <v>349501200</v>
      </c>
      <c r="O14" s="357">
        <f>IOTable!O15*'Price Table'!$E15</f>
        <v>0</v>
      </c>
      <c r="P14" s="357">
        <f>IOTable!P15*'Price Table'!$E15</f>
        <v>0</v>
      </c>
      <c r="Q14" s="357">
        <f>IOTable!Q15*'Price Table'!$E15</f>
        <v>0</v>
      </c>
      <c r="R14" s="357">
        <f>IOTable!R15*'Price Table'!$E15</f>
        <v>0</v>
      </c>
      <c r="S14" s="357">
        <f>IOTable!S15*'Price Table'!$E15</f>
        <v>349501200</v>
      </c>
      <c r="T14" s="357">
        <f>IOTable!T15*'Price Table'!$E15</f>
        <v>0</v>
      </c>
      <c r="U14" s="357">
        <f>IOTable!U15*'Price Table'!$E15</f>
        <v>0</v>
      </c>
      <c r="V14" s="357">
        <f>IOTable!V15*'Price Table'!$E15</f>
        <v>0</v>
      </c>
      <c r="W14" s="357">
        <f>IOTable!W15*'Price Table'!$E15</f>
        <v>0</v>
      </c>
      <c r="X14" s="357">
        <f>IOTable!X15*'Price Table'!$E15</f>
        <v>0</v>
      </c>
      <c r="Y14" s="357">
        <f>IOTable!Y15*'Price Table'!$E15</f>
        <v>349501200</v>
      </c>
      <c r="Z14" s="357">
        <f>IOTable!Z15*'Price Table'!$E15</f>
        <v>0</v>
      </c>
      <c r="AA14" s="357">
        <f>IOTable!AA15*'Price Table'!$E15</f>
        <v>0</v>
      </c>
      <c r="AB14" s="357">
        <f>IOTable!AB15*'Price Table'!$E15</f>
        <v>0</v>
      </c>
      <c r="AC14" s="357">
        <f>IOTable!AC15*'Price Table'!$E15</f>
        <v>0</v>
      </c>
      <c r="AD14" s="357">
        <f>IOTable!AD15*'Price Table'!$E15</f>
        <v>0</v>
      </c>
      <c r="AE14" s="357">
        <f>IOTable!AE15*'Price Table'!$E15</f>
        <v>0</v>
      </c>
      <c r="AF14" s="357">
        <f>IOTable!AF15*'Price Table'!$E15</f>
        <v>0</v>
      </c>
      <c r="AG14" s="357">
        <f>IOTable!AG15*'Price Table'!$E15</f>
        <v>0</v>
      </c>
    </row>
    <row r="15" spans="1:33" s="245" customFormat="1">
      <c r="A15" s="193"/>
      <c r="B15" s="244"/>
      <c r="C15" s="237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</row>
    <row r="16" spans="1:33" ht="18">
      <c r="A16" s="207" t="s">
        <v>38</v>
      </c>
      <c r="B16" s="246"/>
      <c r="C16" s="237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</row>
    <row r="17" spans="1:33" ht="15.6">
      <c r="A17" s="189" t="s">
        <v>39</v>
      </c>
      <c r="B17" s="179"/>
      <c r="C17" s="237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</row>
    <row r="18" spans="1:33" s="242" customFormat="1" ht="13.8">
      <c r="A18" s="238"/>
      <c r="B18" s="247" t="s">
        <v>40</v>
      </c>
      <c r="C18" s="240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</row>
    <row r="19" spans="1:33" s="242" customFormat="1" ht="13.8">
      <c r="A19" s="238"/>
      <c r="B19" s="248" t="s">
        <v>79</v>
      </c>
      <c r="C19" s="240" t="s">
        <v>58</v>
      </c>
      <c r="D19" s="241">
        <f>IOTable!D20*'Price Table'!$E20</f>
        <v>11880000000</v>
      </c>
      <c r="E19" s="241">
        <f>IOTable!E20*'Price Table'!$E20</f>
        <v>11880000000</v>
      </c>
      <c r="F19" s="241">
        <f>IOTable!F20*'Price Table'!$E20</f>
        <v>11880000000</v>
      </c>
      <c r="G19" s="241">
        <f>IOTable!G20*'Price Table'!$E20</f>
        <v>11880000000</v>
      </c>
      <c r="H19" s="241">
        <f>IOTable!H20*'Price Table'!$E20</f>
        <v>11880000000</v>
      </c>
      <c r="I19" s="241">
        <f>IOTable!I20*'Price Table'!$E20</f>
        <v>11880000000</v>
      </c>
      <c r="J19" s="241">
        <f>IOTable!J20*'Price Table'!$E20</f>
        <v>11880000000</v>
      </c>
      <c r="K19" s="241">
        <f>IOTable!K20*'Price Table'!$E20</f>
        <v>11880000000</v>
      </c>
      <c r="L19" s="241">
        <f>IOTable!L20*'Price Table'!$E20</f>
        <v>11880000000</v>
      </c>
      <c r="M19" s="241">
        <f>IOTable!M20*'Price Table'!$E20</f>
        <v>11880000000</v>
      </c>
      <c r="N19" s="241">
        <f>IOTable!N20*'Price Table'!$E20</f>
        <v>11880000000</v>
      </c>
      <c r="O19" s="241">
        <f>IOTable!O20*'Price Table'!$E20</f>
        <v>11880000000</v>
      </c>
      <c r="P19" s="241">
        <f>IOTable!P20*'Price Table'!$E20</f>
        <v>11880000000</v>
      </c>
      <c r="Q19" s="241">
        <f>IOTable!Q20*'Price Table'!$E20</f>
        <v>11880000000</v>
      </c>
      <c r="R19" s="241">
        <f>IOTable!R20*'Price Table'!$E20</f>
        <v>11880000000</v>
      </c>
      <c r="S19" s="241">
        <f>IOTable!S20*'Price Table'!$E20</f>
        <v>11880000000</v>
      </c>
      <c r="T19" s="241">
        <f>IOTable!T20*'Price Table'!$E20</f>
        <v>11880000000</v>
      </c>
      <c r="U19" s="241">
        <f>IOTable!U20*'Price Table'!$E20</f>
        <v>11880000000</v>
      </c>
      <c r="V19" s="241">
        <f>IOTable!V20*'Price Table'!$E20</f>
        <v>11880000000</v>
      </c>
      <c r="W19" s="241">
        <f>IOTable!W20*'Price Table'!$E20</f>
        <v>11880000000</v>
      </c>
      <c r="X19" s="241">
        <f>IOTable!X20*'Price Table'!$E20</f>
        <v>11880000000</v>
      </c>
      <c r="Y19" s="241">
        <f>IOTable!Y20*'Price Table'!$E20</f>
        <v>11880000000</v>
      </c>
      <c r="Z19" s="241">
        <f>IOTable!Z20*'Price Table'!$E20</f>
        <v>11880000000</v>
      </c>
      <c r="AA19" s="241">
        <f>IOTable!AA20*'Price Table'!$E20</f>
        <v>11880000000</v>
      </c>
      <c r="AB19" s="241">
        <f>IOTable!AB20*'Price Table'!$E20</f>
        <v>11880000000</v>
      </c>
      <c r="AC19" s="241">
        <f>IOTable!AC20*'Price Table'!$E20</f>
        <v>11880000000</v>
      </c>
      <c r="AD19" s="241">
        <f>IOTable!AD20*'Price Table'!$E20</f>
        <v>11880000000</v>
      </c>
      <c r="AE19" s="241">
        <f>IOTable!AE20*'Price Table'!$E20</f>
        <v>11880000000</v>
      </c>
      <c r="AF19" s="241">
        <f>IOTable!AF20*'Price Table'!$E20</f>
        <v>11880000000</v>
      </c>
      <c r="AG19" s="241">
        <f>IOTable!AG20*'Price Table'!$E20</f>
        <v>11880000000</v>
      </c>
    </row>
    <row r="20" spans="1:33" s="242" customFormat="1" ht="13.8">
      <c r="A20" s="238"/>
      <c r="B20" s="248" t="s">
        <v>41</v>
      </c>
      <c r="C20" s="240" t="s">
        <v>58</v>
      </c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241"/>
      <c r="Z20" s="241"/>
      <c r="AA20" s="241"/>
      <c r="AB20" s="241"/>
      <c r="AC20" s="241"/>
      <c r="AD20" s="241"/>
      <c r="AE20" s="241"/>
      <c r="AF20" s="241"/>
      <c r="AG20" s="241"/>
    </row>
    <row r="21" spans="1:33" s="242" customFormat="1" ht="13.8">
      <c r="A21" s="238"/>
      <c r="B21" s="146" t="s">
        <v>8</v>
      </c>
      <c r="C21" s="240" t="s">
        <v>58</v>
      </c>
      <c r="D21" s="241">
        <f>IOTable!D22*'Price Table'!$E22</f>
        <v>1188535541.9208014</v>
      </c>
      <c r="E21" s="241">
        <f>IOTable!E22*'Price Table'!$E22</f>
        <v>1188535541.9208014</v>
      </c>
      <c r="F21" s="241">
        <f>IOTable!F22*'Price Table'!$E22</f>
        <v>1188535541.9208014</v>
      </c>
      <c r="G21" s="241">
        <f>IOTable!G22*'Price Table'!$E22</f>
        <v>1188535541.9208014</v>
      </c>
      <c r="H21" s="241">
        <f>IOTable!H22*'Price Table'!$E22</f>
        <v>1188535541.9208014</v>
      </c>
      <c r="I21" s="241">
        <f>IOTable!I22*'Price Table'!$E22</f>
        <v>1188535541.9208014</v>
      </c>
      <c r="J21" s="241">
        <f>IOTable!J22*'Price Table'!$E22</f>
        <v>1188535541.9208014</v>
      </c>
      <c r="K21" s="241">
        <f>IOTable!K22*'Price Table'!$E22</f>
        <v>1188535541.9208014</v>
      </c>
      <c r="L21" s="241">
        <f>IOTable!L22*'Price Table'!$E22</f>
        <v>1188535541.9208014</v>
      </c>
      <c r="M21" s="241">
        <f>IOTable!M22*'Price Table'!$E22</f>
        <v>1188535541.9208014</v>
      </c>
      <c r="N21" s="241">
        <f>IOTable!N22*'Price Table'!$E22</f>
        <v>1188535541.9208014</v>
      </c>
      <c r="O21" s="241">
        <f>IOTable!O22*'Price Table'!$E22</f>
        <v>1188535541.9208014</v>
      </c>
      <c r="P21" s="241">
        <f>IOTable!P22*'Price Table'!$E22</f>
        <v>1188535541.9208014</v>
      </c>
      <c r="Q21" s="241">
        <f>IOTable!Q22*'Price Table'!$E22</f>
        <v>1188535541.9208014</v>
      </c>
      <c r="R21" s="241">
        <f>IOTable!R22*'Price Table'!$E22</f>
        <v>1188535541.9208014</v>
      </c>
      <c r="S21" s="241">
        <f>IOTable!S22*'Price Table'!$E22</f>
        <v>1188535541.9208014</v>
      </c>
      <c r="T21" s="241">
        <f>IOTable!T22*'Price Table'!$E22</f>
        <v>1188535541.9208014</v>
      </c>
      <c r="U21" s="241">
        <f>IOTable!U22*'Price Table'!$E22</f>
        <v>1188535541.9208014</v>
      </c>
      <c r="V21" s="241">
        <f>IOTable!V22*'Price Table'!$E22</f>
        <v>1188535541.9208014</v>
      </c>
      <c r="W21" s="241">
        <f>IOTable!W22*'Price Table'!$E22</f>
        <v>1188535541.9208014</v>
      </c>
      <c r="X21" s="241">
        <f>IOTable!X22*'Price Table'!$E22</f>
        <v>1188535541.9208014</v>
      </c>
      <c r="Y21" s="241">
        <f>IOTable!Y22*'Price Table'!$E22</f>
        <v>1188535541.9208014</v>
      </c>
      <c r="Z21" s="241">
        <f>IOTable!Z22*'Price Table'!$E22</f>
        <v>1188535541.9208014</v>
      </c>
      <c r="AA21" s="241">
        <f>IOTable!AA22*'Price Table'!$E22</f>
        <v>1188535541.9208014</v>
      </c>
      <c r="AB21" s="241">
        <f>IOTable!AB22*'Price Table'!$E22</f>
        <v>1188535541.9208014</v>
      </c>
      <c r="AC21" s="241">
        <f>IOTable!AC22*'Price Table'!$E22</f>
        <v>1188535541.9208014</v>
      </c>
      <c r="AD21" s="241">
        <f>IOTable!AD22*'Price Table'!$E22</f>
        <v>1188535541.9208014</v>
      </c>
      <c r="AE21" s="241">
        <f>IOTable!AE22*'Price Table'!$E22</f>
        <v>1188535541.9208014</v>
      </c>
      <c r="AF21" s="241">
        <f>IOTable!AF22*'Price Table'!$E22</f>
        <v>1188535541.9208014</v>
      </c>
      <c r="AG21" s="241">
        <f>IOTable!AG22*'Price Table'!$E22</f>
        <v>1188535541.9208014</v>
      </c>
    </row>
    <row r="22" spans="1:33" s="242" customFormat="1" ht="13.8">
      <c r="A22" s="238"/>
      <c r="B22" s="146" t="s">
        <v>439</v>
      </c>
      <c r="C22" s="240" t="s">
        <v>58</v>
      </c>
      <c r="D22" s="241">
        <f>IOTable!D23*'Price Table'!$E23</f>
        <v>381294147.10500008</v>
      </c>
      <c r="E22" s="241">
        <f>IOTable!E23*'Price Table'!$E23</f>
        <v>381294147.10500008</v>
      </c>
      <c r="F22" s="241">
        <f>IOTable!F23*'Price Table'!$E23</f>
        <v>381294147.10500008</v>
      </c>
      <c r="G22" s="241">
        <f>IOTable!G23*'Price Table'!$E23</f>
        <v>381294147.10500008</v>
      </c>
      <c r="H22" s="241">
        <f>IOTable!H23*'Price Table'!$E23</f>
        <v>381294147.10500008</v>
      </c>
      <c r="I22" s="241">
        <f>IOTable!I23*'Price Table'!$E23</f>
        <v>381294147.10500008</v>
      </c>
      <c r="J22" s="241">
        <f>IOTable!J23*'Price Table'!$E23</f>
        <v>381294147.10500008</v>
      </c>
      <c r="K22" s="241">
        <f>IOTable!K23*'Price Table'!$E23</f>
        <v>381294147.10500008</v>
      </c>
      <c r="L22" s="241">
        <f>IOTable!L23*'Price Table'!$E23</f>
        <v>381294147.10500008</v>
      </c>
      <c r="M22" s="241">
        <f>IOTable!M23*'Price Table'!$E23</f>
        <v>381294147.10500008</v>
      </c>
      <c r="N22" s="241">
        <f>IOTable!N23*'Price Table'!$E23</f>
        <v>381294147.10500008</v>
      </c>
      <c r="O22" s="241">
        <f>IOTable!O23*'Price Table'!$E23</f>
        <v>381294147.10500008</v>
      </c>
      <c r="P22" s="241">
        <f>IOTable!P23*'Price Table'!$E23</f>
        <v>381294147.10500008</v>
      </c>
      <c r="Q22" s="241">
        <f>IOTable!Q23*'Price Table'!$E23</f>
        <v>381294147.10500008</v>
      </c>
      <c r="R22" s="241">
        <f>IOTable!R23*'Price Table'!$E23</f>
        <v>381294147.10500008</v>
      </c>
      <c r="S22" s="241">
        <f>IOTable!S23*'Price Table'!$E23</f>
        <v>381294147.10500008</v>
      </c>
      <c r="T22" s="241">
        <f>IOTable!T23*'Price Table'!$E23</f>
        <v>381294147.10500008</v>
      </c>
      <c r="U22" s="241">
        <f>IOTable!U23*'Price Table'!$E23</f>
        <v>381294147.10500008</v>
      </c>
      <c r="V22" s="241">
        <f>IOTable!V23*'Price Table'!$E23</f>
        <v>381294147.10500008</v>
      </c>
      <c r="W22" s="241">
        <f>IOTable!W23*'Price Table'!$E23</f>
        <v>381294147.10500008</v>
      </c>
      <c r="X22" s="241">
        <f>IOTable!X23*'Price Table'!$E23</f>
        <v>381294147.10500008</v>
      </c>
      <c r="Y22" s="241">
        <f>IOTable!Y23*'Price Table'!$E23</f>
        <v>381294147.10500008</v>
      </c>
      <c r="Z22" s="241">
        <f>IOTable!Z23*'Price Table'!$E23</f>
        <v>381294147.10500008</v>
      </c>
      <c r="AA22" s="241">
        <f>IOTable!AA23*'Price Table'!$E23</f>
        <v>381294147.10500008</v>
      </c>
      <c r="AB22" s="241">
        <f>IOTable!AB23*'Price Table'!$E23</f>
        <v>381294147.10500008</v>
      </c>
      <c r="AC22" s="241">
        <f>IOTable!AC23*'Price Table'!$E23</f>
        <v>381294147.10500008</v>
      </c>
      <c r="AD22" s="241">
        <f>IOTable!AD23*'Price Table'!$E23</f>
        <v>381294147.10500008</v>
      </c>
      <c r="AE22" s="241">
        <f>IOTable!AE23*'Price Table'!$E23</f>
        <v>381294147.10500008</v>
      </c>
      <c r="AF22" s="241">
        <f>IOTable!AF23*'Price Table'!$E23</f>
        <v>381294147.10500008</v>
      </c>
      <c r="AG22" s="241">
        <f>IOTable!AG23*'Price Table'!$E23</f>
        <v>381294147.10500008</v>
      </c>
    </row>
    <row r="23" spans="1:33" s="242" customFormat="1" ht="13.8">
      <c r="A23" s="238"/>
      <c r="B23" s="132" t="s">
        <v>428</v>
      </c>
      <c r="C23" s="240" t="s">
        <v>58</v>
      </c>
      <c r="D23" s="241">
        <f>IOTable!D24*'Price Table'!$E24</f>
        <v>231346517.39999995</v>
      </c>
      <c r="E23" s="241">
        <f>IOTable!E24*'Price Table'!$E24</f>
        <v>231346517.39999995</v>
      </c>
      <c r="F23" s="241">
        <f>IOTable!F24*'Price Table'!$E24</f>
        <v>231346517.39999995</v>
      </c>
      <c r="G23" s="241">
        <f>IOTable!G24*'Price Table'!$E24</f>
        <v>231346517.39999995</v>
      </c>
      <c r="H23" s="241">
        <f>IOTable!H24*'Price Table'!$E24</f>
        <v>231346517.39999995</v>
      </c>
      <c r="I23" s="241">
        <f>IOTable!I24*'Price Table'!$E24</f>
        <v>231346517.39999995</v>
      </c>
      <c r="J23" s="241">
        <f>IOTable!J24*'Price Table'!$E24</f>
        <v>231346517.39999995</v>
      </c>
      <c r="K23" s="241">
        <f>IOTable!K24*'Price Table'!$E24</f>
        <v>231346517.39999995</v>
      </c>
      <c r="L23" s="241">
        <f>IOTable!L24*'Price Table'!$E24</f>
        <v>231346517.39999995</v>
      </c>
      <c r="M23" s="241">
        <f>IOTable!M24*'Price Table'!$E24</f>
        <v>231346517.39999995</v>
      </c>
      <c r="N23" s="241">
        <f>IOTable!N24*'Price Table'!$E24</f>
        <v>231346517.39999995</v>
      </c>
      <c r="O23" s="241">
        <f>IOTable!O24*'Price Table'!$E24</f>
        <v>231346517.39999995</v>
      </c>
      <c r="P23" s="241">
        <f>IOTable!P24*'Price Table'!$E24</f>
        <v>231346517.39999995</v>
      </c>
      <c r="Q23" s="241">
        <f>IOTable!Q24*'Price Table'!$E24</f>
        <v>231346517.39999995</v>
      </c>
      <c r="R23" s="241">
        <f>IOTable!R24*'Price Table'!$E24</f>
        <v>231346517.39999995</v>
      </c>
      <c r="S23" s="241">
        <f>IOTable!S24*'Price Table'!$E24</f>
        <v>231346517.39999995</v>
      </c>
      <c r="T23" s="241">
        <f>IOTable!T24*'Price Table'!$E24</f>
        <v>231346517.39999995</v>
      </c>
      <c r="U23" s="241">
        <f>IOTable!U24*'Price Table'!$E24</f>
        <v>231346517.39999995</v>
      </c>
      <c r="V23" s="241">
        <f>IOTable!V24*'Price Table'!$E24</f>
        <v>231346517.39999995</v>
      </c>
      <c r="W23" s="241">
        <f>IOTable!W24*'Price Table'!$E24</f>
        <v>231346517.39999995</v>
      </c>
      <c r="X23" s="241">
        <f>IOTable!X24*'Price Table'!$E24</f>
        <v>231346517.39999995</v>
      </c>
      <c r="Y23" s="241">
        <f>IOTable!Y24*'Price Table'!$E24</f>
        <v>231346517.39999995</v>
      </c>
      <c r="Z23" s="241">
        <f>IOTable!Z24*'Price Table'!$E24</f>
        <v>231346517.39999995</v>
      </c>
      <c r="AA23" s="241">
        <f>IOTable!AA24*'Price Table'!$E24</f>
        <v>231346517.39999995</v>
      </c>
      <c r="AB23" s="241">
        <f>IOTable!AB24*'Price Table'!$E24</f>
        <v>231346517.39999995</v>
      </c>
      <c r="AC23" s="241">
        <f>IOTable!AC24*'Price Table'!$E24</f>
        <v>231346517.39999995</v>
      </c>
      <c r="AD23" s="241">
        <f>IOTable!AD24*'Price Table'!$E24</f>
        <v>231346517.39999995</v>
      </c>
      <c r="AE23" s="241">
        <f>IOTable!AE24*'Price Table'!$E24</f>
        <v>231346517.39999995</v>
      </c>
      <c r="AF23" s="241">
        <f>IOTable!AF24*'Price Table'!$E24</f>
        <v>231346517.39999995</v>
      </c>
      <c r="AG23" s="241">
        <f>IOTable!AG24*'Price Table'!$E24</f>
        <v>231346517.39999995</v>
      </c>
    </row>
    <row r="24" spans="1:33" s="242" customFormat="1" ht="13.8">
      <c r="A24" s="238"/>
      <c r="B24" s="132" t="s">
        <v>12</v>
      </c>
      <c r="C24" s="240" t="s">
        <v>58</v>
      </c>
      <c r="D24" s="241">
        <f>IOTable!D25*'Price Table'!$E25</f>
        <v>393233290.2835319</v>
      </c>
      <c r="E24" s="241">
        <f>IOTable!E25*'Price Table'!$E25</f>
        <v>393233290.2835319</v>
      </c>
      <c r="F24" s="241">
        <f>IOTable!F25*'Price Table'!$E25</f>
        <v>393233290.2835319</v>
      </c>
      <c r="G24" s="241">
        <f>IOTable!G25*'Price Table'!$E25</f>
        <v>393233290.2835319</v>
      </c>
      <c r="H24" s="241">
        <f>IOTable!H25*'Price Table'!$E25</f>
        <v>393233290.2835319</v>
      </c>
      <c r="I24" s="241">
        <f>IOTable!I25*'Price Table'!$E25</f>
        <v>393233290.2835319</v>
      </c>
      <c r="J24" s="241">
        <f>IOTable!J25*'Price Table'!$E25</f>
        <v>393233290.2835319</v>
      </c>
      <c r="K24" s="241">
        <f>IOTable!K25*'Price Table'!$E25</f>
        <v>393233290.2835319</v>
      </c>
      <c r="L24" s="241">
        <f>IOTable!L25*'Price Table'!$E25</f>
        <v>393233290.2835319</v>
      </c>
      <c r="M24" s="241">
        <f>IOTable!M25*'Price Table'!$E25</f>
        <v>393233290.2835319</v>
      </c>
      <c r="N24" s="241">
        <f>IOTable!N25*'Price Table'!$E25</f>
        <v>393233290.2835319</v>
      </c>
      <c r="O24" s="241">
        <f>IOTable!O25*'Price Table'!$E25</f>
        <v>393233290.2835319</v>
      </c>
      <c r="P24" s="241">
        <f>IOTable!P25*'Price Table'!$E25</f>
        <v>393233290.2835319</v>
      </c>
      <c r="Q24" s="241">
        <f>IOTable!Q25*'Price Table'!$E25</f>
        <v>393233290.2835319</v>
      </c>
      <c r="R24" s="241">
        <f>IOTable!R25*'Price Table'!$E25</f>
        <v>393233290.2835319</v>
      </c>
      <c r="S24" s="241">
        <f>IOTable!S25*'Price Table'!$E25</f>
        <v>393233290.2835319</v>
      </c>
      <c r="T24" s="241">
        <f>IOTable!T25*'Price Table'!$E25</f>
        <v>393233290.2835319</v>
      </c>
      <c r="U24" s="241">
        <f>IOTable!U25*'Price Table'!$E25</f>
        <v>393233290.2835319</v>
      </c>
      <c r="V24" s="241">
        <f>IOTable!V25*'Price Table'!$E25</f>
        <v>393233290.2835319</v>
      </c>
      <c r="W24" s="241">
        <f>IOTable!W25*'Price Table'!$E25</f>
        <v>393233290.2835319</v>
      </c>
      <c r="X24" s="241">
        <f>IOTable!X25*'Price Table'!$E25</f>
        <v>393233290.2835319</v>
      </c>
      <c r="Y24" s="241">
        <f>IOTable!Y25*'Price Table'!$E25</f>
        <v>393233290.2835319</v>
      </c>
      <c r="Z24" s="241">
        <f>IOTable!Z25*'Price Table'!$E25</f>
        <v>393233290.2835319</v>
      </c>
      <c r="AA24" s="241">
        <f>IOTable!AA25*'Price Table'!$E25</f>
        <v>393233290.2835319</v>
      </c>
      <c r="AB24" s="241">
        <f>IOTable!AB25*'Price Table'!$E25</f>
        <v>393233290.2835319</v>
      </c>
      <c r="AC24" s="241">
        <f>IOTable!AC25*'Price Table'!$E25</f>
        <v>393233290.2835319</v>
      </c>
      <c r="AD24" s="241">
        <f>IOTable!AD25*'Price Table'!$E25</f>
        <v>393233290.2835319</v>
      </c>
      <c r="AE24" s="241">
        <f>IOTable!AE25*'Price Table'!$E25</f>
        <v>393233290.2835319</v>
      </c>
      <c r="AF24" s="241">
        <f>IOTable!AF25*'Price Table'!$E25</f>
        <v>393233290.2835319</v>
      </c>
      <c r="AG24" s="241">
        <f>IOTable!AG25*'Price Table'!$E25</f>
        <v>393233290.2835319</v>
      </c>
    </row>
    <row r="25" spans="1:33" s="242" customFormat="1" ht="13.8">
      <c r="A25" s="238"/>
      <c r="B25" s="132" t="s">
        <v>442</v>
      </c>
      <c r="C25" s="240" t="s">
        <v>58</v>
      </c>
      <c r="D25" s="241">
        <f>IOTable!D26*'Price Table'!$E26</f>
        <v>482208090.90485638</v>
      </c>
      <c r="E25" s="241">
        <f>IOTable!E26*'Price Table'!$E26</f>
        <v>482208090.90485638</v>
      </c>
      <c r="F25" s="241">
        <f>IOTable!F26*'Price Table'!$E26</f>
        <v>482208090.90485638</v>
      </c>
      <c r="G25" s="241">
        <f>IOTable!G26*'Price Table'!$E26</f>
        <v>482208090.90485638</v>
      </c>
      <c r="H25" s="241">
        <f>IOTable!H26*'Price Table'!$E26</f>
        <v>482208090.90485638</v>
      </c>
      <c r="I25" s="241">
        <f>IOTable!I26*'Price Table'!$E26</f>
        <v>482208090.90485638</v>
      </c>
      <c r="J25" s="241">
        <f>IOTable!J26*'Price Table'!$E26</f>
        <v>482208090.90485638</v>
      </c>
      <c r="K25" s="241">
        <f>IOTable!K26*'Price Table'!$E26</f>
        <v>482208090.90485638</v>
      </c>
      <c r="L25" s="241">
        <f>IOTable!L26*'Price Table'!$E26</f>
        <v>482208090.90485638</v>
      </c>
      <c r="M25" s="241">
        <f>IOTable!M26*'Price Table'!$E26</f>
        <v>482208090.90485638</v>
      </c>
      <c r="N25" s="241">
        <f>IOTable!N26*'Price Table'!$E26</f>
        <v>482208090.90485638</v>
      </c>
      <c r="O25" s="241">
        <f>IOTable!O26*'Price Table'!$E26</f>
        <v>482208090.90485638</v>
      </c>
      <c r="P25" s="241">
        <f>IOTable!P26*'Price Table'!$E26</f>
        <v>482208090.90485638</v>
      </c>
      <c r="Q25" s="241">
        <f>IOTable!Q26*'Price Table'!$E26</f>
        <v>482208090.90485638</v>
      </c>
      <c r="R25" s="241">
        <f>IOTable!R26*'Price Table'!$E26</f>
        <v>482208090.90485638</v>
      </c>
      <c r="S25" s="241">
        <f>IOTable!S26*'Price Table'!$E26</f>
        <v>482208090.90485638</v>
      </c>
      <c r="T25" s="241">
        <f>IOTable!T26*'Price Table'!$E26</f>
        <v>482208090.90485638</v>
      </c>
      <c r="U25" s="241">
        <f>IOTable!U26*'Price Table'!$E26</f>
        <v>482208090.90485638</v>
      </c>
      <c r="V25" s="241">
        <f>IOTable!V26*'Price Table'!$E26</f>
        <v>482208090.90485638</v>
      </c>
      <c r="W25" s="241">
        <f>IOTable!W26*'Price Table'!$E26</f>
        <v>482208090.90485638</v>
      </c>
      <c r="X25" s="241">
        <f>IOTable!X26*'Price Table'!$E26</f>
        <v>482208090.90485638</v>
      </c>
      <c r="Y25" s="241">
        <f>IOTable!Y26*'Price Table'!$E26</f>
        <v>482208090.90485638</v>
      </c>
      <c r="Z25" s="241">
        <f>IOTable!Z26*'Price Table'!$E26</f>
        <v>482208090.90485638</v>
      </c>
      <c r="AA25" s="241">
        <f>IOTable!AA26*'Price Table'!$E26</f>
        <v>482208090.90485638</v>
      </c>
      <c r="AB25" s="241">
        <f>IOTable!AB26*'Price Table'!$E26</f>
        <v>482208090.90485638</v>
      </c>
      <c r="AC25" s="241">
        <f>IOTable!AC26*'Price Table'!$E26</f>
        <v>482208090.90485638</v>
      </c>
      <c r="AD25" s="241">
        <f>IOTable!AD26*'Price Table'!$E26</f>
        <v>482208090.90485638</v>
      </c>
      <c r="AE25" s="241">
        <f>IOTable!AE26*'Price Table'!$E26</f>
        <v>482208090.90485638</v>
      </c>
      <c r="AF25" s="241">
        <f>IOTable!AF26*'Price Table'!$E26</f>
        <v>482208090.90485638</v>
      </c>
      <c r="AG25" s="241">
        <f>IOTable!AG26*'Price Table'!$E26</f>
        <v>482208090.90485638</v>
      </c>
    </row>
    <row r="26" spans="1:33" s="242" customFormat="1" ht="13.8">
      <c r="A26" s="238"/>
      <c r="B26" s="132" t="s">
        <v>15</v>
      </c>
      <c r="C26" s="240" t="s">
        <v>58</v>
      </c>
      <c r="D26" s="241">
        <f>IOTable!D27*'Price Table'!$E27</f>
        <v>135000000</v>
      </c>
      <c r="E26" s="241">
        <f>IOTable!E27*'Price Table'!$E27</f>
        <v>135000000</v>
      </c>
      <c r="F26" s="241">
        <f>IOTable!F27*'Price Table'!$E27</f>
        <v>135000000</v>
      </c>
      <c r="G26" s="241">
        <f>IOTable!G27*'Price Table'!$E27</f>
        <v>135000000</v>
      </c>
      <c r="H26" s="241">
        <f>IOTable!H27*'Price Table'!$E27</f>
        <v>135000000</v>
      </c>
      <c r="I26" s="241">
        <f>IOTable!I27*'Price Table'!$E27</f>
        <v>135000000</v>
      </c>
      <c r="J26" s="241">
        <f>IOTable!J27*'Price Table'!$E27</f>
        <v>135000000</v>
      </c>
      <c r="K26" s="241">
        <f>IOTable!K27*'Price Table'!$E27</f>
        <v>135000000</v>
      </c>
      <c r="L26" s="241">
        <f>IOTable!L27*'Price Table'!$E27</f>
        <v>135000000</v>
      </c>
      <c r="M26" s="241">
        <f>IOTable!M27*'Price Table'!$E27</f>
        <v>135000000</v>
      </c>
      <c r="N26" s="241">
        <f>IOTable!N27*'Price Table'!$E27</f>
        <v>135000000</v>
      </c>
      <c r="O26" s="241">
        <f>IOTable!O27*'Price Table'!$E27</f>
        <v>135000000</v>
      </c>
      <c r="P26" s="241">
        <f>IOTable!P27*'Price Table'!$E27</f>
        <v>135000000</v>
      </c>
      <c r="Q26" s="241">
        <f>IOTable!Q27*'Price Table'!$E27</f>
        <v>135000000</v>
      </c>
      <c r="R26" s="241">
        <f>IOTable!R27*'Price Table'!$E27</f>
        <v>135000000</v>
      </c>
      <c r="S26" s="241">
        <f>IOTable!S27*'Price Table'!$E27</f>
        <v>135000000</v>
      </c>
      <c r="T26" s="241">
        <f>IOTable!T27*'Price Table'!$E27</f>
        <v>135000000</v>
      </c>
      <c r="U26" s="241">
        <f>IOTable!U27*'Price Table'!$E27</f>
        <v>135000000</v>
      </c>
      <c r="V26" s="241">
        <f>IOTable!V27*'Price Table'!$E27</f>
        <v>135000000</v>
      </c>
      <c r="W26" s="241">
        <f>IOTable!W27*'Price Table'!$E27</f>
        <v>135000000</v>
      </c>
      <c r="X26" s="241">
        <f>IOTable!X27*'Price Table'!$E27</f>
        <v>135000000</v>
      </c>
      <c r="Y26" s="241">
        <f>IOTable!Y27*'Price Table'!$E27</f>
        <v>135000000</v>
      </c>
      <c r="Z26" s="241">
        <f>IOTable!Z27*'Price Table'!$E27</f>
        <v>135000000</v>
      </c>
      <c r="AA26" s="241">
        <f>IOTable!AA27*'Price Table'!$E27</f>
        <v>135000000</v>
      </c>
      <c r="AB26" s="241">
        <f>IOTable!AB27*'Price Table'!$E27</f>
        <v>135000000</v>
      </c>
      <c r="AC26" s="241">
        <f>IOTable!AC27*'Price Table'!$E27</f>
        <v>135000000</v>
      </c>
      <c r="AD26" s="241">
        <f>IOTable!AD27*'Price Table'!$E27</f>
        <v>135000000</v>
      </c>
      <c r="AE26" s="241">
        <f>IOTable!AE27*'Price Table'!$E27</f>
        <v>135000000</v>
      </c>
      <c r="AF26" s="241">
        <f>IOTable!AF27*'Price Table'!$E27</f>
        <v>135000000</v>
      </c>
      <c r="AG26" s="241">
        <f>IOTable!AG27*'Price Table'!$E27</f>
        <v>135000000</v>
      </c>
    </row>
    <row r="27" spans="1:33" s="242" customFormat="1" ht="13.8">
      <c r="A27" s="238"/>
      <c r="B27" s="249" t="s">
        <v>16</v>
      </c>
      <c r="C27" s="240" t="s">
        <v>58</v>
      </c>
      <c r="D27" s="241">
        <f>IOTable!D28*'Price Table'!$E28</f>
        <v>6496000817.3076925</v>
      </c>
      <c r="E27" s="241">
        <f>IOTable!E28*'Price Table'!$E28</f>
        <v>6496000817.3076925</v>
      </c>
      <c r="F27" s="241">
        <f>IOTable!F28*'Price Table'!$E28</f>
        <v>6496000817.3076925</v>
      </c>
      <c r="G27" s="241">
        <f>IOTable!G28*'Price Table'!$E28</f>
        <v>6496000817.3076925</v>
      </c>
      <c r="H27" s="241">
        <f>IOTable!H28*'Price Table'!$E28</f>
        <v>6496000817.3076925</v>
      </c>
      <c r="I27" s="241">
        <f>IOTable!I28*'Price Table'!$E28</f>
        <v>6496000817.3076925</v>
      </c>
      <c r="J27" s="241">
        <f>IOTable!J28*'Price Table'!$E28</f>
        <v>6496000817.3076925</v>
      </c>
      <c r="K27" s="241">
        <f>IOTable!K28*'Price Table'!$E28</f>
        <v>6496000817.3076925</v>
      </c>
      <c r="L27" s="241">
        <f>IOTable!L28*'Price Table'!$E28</f>
        <v>6496000817.3076925</v>
      </c>
      <c r="M27" s="241">
        <f>IOTable!M28*'Price Table'!$E28</f>
        <v>6496000817.3076925</v>
      </c>
      <c r="N27" s="241">
        <f>IOTable!N28*'Price Table'!$E28</f>
        <v>6496000817.3076925</v>
      </c>
      <c r="O27" s="241">
        <f>IOTable!O28*'Price Table'!$E28</f>
        <v>6496000817.3076925</v>
      </c>
      <c r="P27" s="241">
        <f>IOTable!P28*'Price Table'!$E28</f>
        <v>6496000817.3076925</v>
      </c>
      <c r="Q27" s="241">
        <f>IOTable!Q28*'Price Table'!$E28</f>
        <v>6496000817.3076925</v>
      </c>
      <c r="R27" s="241">
        <f>IOTable!R28*'Price Table'!$E28</f>
        <v>6496000817.3076925</v>
      </c>
      <c r="S27" s="241">
        <f>IOTable!S28*'Price Table'!$E28</f>
        <v>6496000817.3076925</v>
      </c>
      <c r="T27" s="241">
        <f>IOTable!T28*'Price Table'!$E28</f>
        <v>6496000817.3076925</v>
      </c>
      <c r="U27" s="241">
        <f>IOTable!U28*'Price Table'!$E28</f>
        <v>6496000817.3076925</v>
      </c>
      <c r="V27" s="241">
        <f>IOTable!V28*'Price Table'!$E28</f>
        <v>6496000817.3076925</v>
      </c>
      <c r="W27" s="241">
        <f>IOTable!W28*'Price Table'!$E28</f>
        <v>6496000817.3076925</v>
      </c>
      <c r="X27" s="241">
        <f>IOTable!X28*'Price Table'!$E28</f>
        <v>6496000817.3076925</v>
      </c>
      <c r="Y27" s="241">
        <f>IOTable!Y28*'Price Table'!$E28</f>
        <v>6496000817.3076925</v>
      </c>
      <c r="Z27" s="241">
        <f>IOTable!Z28*'Price Table'!$E28</f>
        <v>6496000817.3076925</v>
      </c>
      <c r="AA27" s="241">
        <f>IOTable!AA28*'Price Table'!$E28</f>
        <v>6496000817.3076925</v>
      </c>
      <c r="AB27" s="241">
        <f>IOTable!AB28*'Price Table'!$E28</f>
        <v>6496000817.3076925</v>
      </c>
      <c r="AC27" s="241">
        <f>IOTable!AC28*'Price Table'!$E28</f>
        <v>6496000817.3076925</v>
      </c>
      <c r="AD27" s="241">
        <f>IOTable!AD28*'Price Table'!$E28</f>
        <v>6496000817.3076925</v>
      </c>
      <c r="AE27" s="241">
        <f>IOTable!AE28*'Price Table'!$E28</f>
        <v>6496000817.3076925</v>
      </c>
      <c r="AF27" s="241">
        <f>IOTable!AF28*'Price Table'!$E28</f>
        <v>6496000817.3076925</v>
      </c>
      <c r="AG27" s="241">
        <f>IOTable!AG28*'Price Table'!$E28</f>
        <v>6496000817.3076925</v>
      </c>
    </row>
    <row r="28" spans="1:33" s="242" customFormat="1" ht="13.8">
      <c r="A28" s="238"/>
      <c r="B28" s="132" t="s">
        <v>18</v>
      </c>
      <c r="C28" s="240" t="s">
        <v>58</v>
      </c>
      <c r="D28" s="241">
        <f>IOTable!D29*'Price Table'!$E29</f>
        <v>189000000</v>
      </c>
      <c r="E28" s="241">
        <f>IOTable!E29*'Price Table'!$E29</f>
        <v>189000000</v>
      </c>
      <c r="F28" s="241">
        <f>IOTable!F29*'Price Table'!$E29</f>
        <v>189000000</v>
      </c>
      <c r="G28" s="241">
        <f>IOTable!G29*'Price Table'!$E29</f>
        <v>189000000</v>
      </c>
      <c r="H28" s="241">
        <f>IOTable!H29*'Price Table'!$E29</f>
        <v>189000000</v>
      </c>
      <c r="I28" s="241">
        <f>IOTable!I29*'Price Table'!$E29</f>
        <v>189000000</v>
      </c>
      <c r="J28" s="241">
        <f>IOTable!J29*'Price Table'!$E29</f>
        <v>189000000</v>
      </c>
      <c r="K28" s="241">
        <f>IOTable!K29*'Price Table'!$E29</f>
        <v>189000000</v>
      </c>
      <c r="L28" s="241">
        <f>IOTable!L29*'Price Table'!$E29</f>
        <v>189000000</v>
      </c>
      <c r="M28" s="241">
        <f>IOTable!M29*'Price Table'!$E29</f>
        <v>189000000</v>
      </c>
      <c r="N28" s="241">
        <f>IOTable!N29*'Price Table'!$E29</f>
        <v>189000000</v>
      </c>
      <c r="O28" s="241">
        <f>IOTable!O29*'Price Table'!$E29</f>
        <v>189000000</v>
      </c>
      <c r="P28" s="241">
        <f>IOTable!P29*'Price Table'!$E29</f>
        <v>189000000</v>
      </c>
      <c r="Q28" s="241">
        <f>IOTable!Q29*'Price Table'!$E29</f>
        <v>189000000</v>
      </c>
      <c r="R28" s="241">
        <f>IOTable!R29*'Price Table'!$E29</f>
        <v>189000000</v>
      </c>
      <c r="S28" s="241">
        <f>IOTable!S29*'Price Table'!$E29</f>
        <v>189000000</v>
      </c>
      <c r="T28" s="241">
        <f>IOTable!T29*'Price Table'!$E29</f>
        <v>189000000</v>
      </c>
      <c r="U28" s="241">
        <f>IOTable!U29*'Price Table'!$E29</f>
        <v>189000000</v>
      </c>
      <c r="V28" s="241">
        <f>IOTable!V29*'Price Table'!$E29</f>
        <v>189000000</v>
      </c>
      <c r="W28" s="241">
        <f>IOTable!W29*'Price Table'!$E29</f>
        <v>189000000</v>
      </c>
      <c r="X28" s="241">
        <f>IOTable!X29*'Price Table'!$E29</f>
        <v>189000000</v>
      </c>
      <c r="Y28" s="241">
        <f>IOTable!Y29*'Price Table'!$E29</f>
        <v>189000000</v>
      </c>
      <c r="Z28" s="241">
        <f>IOTable!Z29*'Price Table'!$E29</f>
        <v>189000000</v>
      </c>
      <c r="AA28" s="241">
        <f>IOTable!AA29*'Price Table'!$E29</f>
        <v>189000000</v>
      </c>
      <c r="AB28" s="241">
        <f>IOTable!AB29*'Price Table'!$E29</f>
        <v>189000000</v>
      </c>
      <c r="AC28" s="241">
        <f>IOTable!AC29*'Price Table'!$E29</f>
        <v>189000000</v>
      </c>
      <c r="AD28" s="241">
        <f>IOTable!AD29*'Price Table'!$E29</f>
        <v>189000000</v>
      </c>
      <c r="AE28" s="241">
        <f>IOTable!AE29*'Price Table'!$E29</f>
        <v>189000000</v>
      </c>
      <c r="AF28" s="241">
        <f>IOTable!AF29*'Price Table'!$E29</f>
        <v>189000000</v>
      </c>
      <c r="AG28" s="241">
        <f>IOTable!AG29*'Price Table'!$E29</f>
        <v>189000000</v>
      </c>
    </row>
    <row r="29" spans="1:33" s="242" customFormat="1" ht="13.8">
      <c r="A29" s="238"/>
      <c r="B29" s="132" t="s">
        <v>19</v>
      </c>
      <c r="C29" s="240" t="s">
        <v>58</v>
      </c>
      <c r="D29" s="241">
        <f>IOTable!D30*'Price Table'!$E30</f>
        <v>81000000</v>
      </c>
      <c r="E29" s="241">
        <f>IOTable!E30*'Price Table'!$E30</f>
        <v>81000000</v>
      </c>
      <c r="F29" s="241">
        <f>IOTable!F30*'Price Table'!$E30</f>
        <v>81000000</v>
      </c>
      <c r="G29" s="241">
        <f>IOTable!G30*'Price Table'!$E30</f>
        <v>81000000</v>
      </c>
      <c r="H29" s="241">
        <f>IOTable!H30*'Price Table'!$E30</f>
        <v>81000000</v>
      </c>
      <c r="I29" s="241">
        <f>IOTable!I30*'Price Table'!$E30</f>
        <v>81000000</v>
      </c>
      <c r="J29" s="241">
        <f>IOTable!J30*'Price Table'!$E30</f>
        <v>81000000</v>
      </c>
      <c r="K29" s="241">
        <f>IOTable!K30*'Price Table'!$E30</f>
        <v>81000000</v>
      </c>
      <c r="L29" s="241">
        <f>IOTable!L30*'Price Table'!$E30</f>
        <v>81000000</v>
      </c>
      <c r="M29" s="241">
        <f>IOTable!M30*'Price Table'!$E30</f>
        <v>81000000</v>
      </c>
      <c r="N29" s="241">
        <f>IOTable!N30*'Price Table'!$E30</f>
        <v>81000000</v>
      </c>
      <c r="O29" s="241">
        <f>IOTable!O30*'Price Table'!$E30</f>
        <v>81000000</v>
      </c>
      <c r="P29" s="241">
        <f>IOTable!P30*'Price Table'!$E30</f>
        <v>81000000</v>
      </c>
      <c r="Q29" s="241">
        <f>IOTable!Q30*'Price Table'!$E30</f>
        <v>81000000</v>
      </c>
      <c r="R29" s="241">
        <f>IOTable!R30*'Price Table'!$E30</f>
        <v>81000000</v>
      </c>
      <c r="S29" s="241">
        <f>IOTable!S30*'Price Table'!$E30</f>
        <v>81000000</v>
      </c>
      <c r="T29" s="241">
        <f>IOTable!T30*'Price Table'!$E30</f>
        <v>81000000</v>
      </c>
      <c r="U29" s="241">
        <f>IOTable!U30*'Price Table'!$E30</f>
        <v>81000000</v>
      </c>
      <c r="V29" s="241">
        <f>IOTable!V30*'Price Table'!$E30</f>
        <v>81000000</v>
      </c>
      <c r="W29" s="241">
        <f>IOTable!W30*'Price Table'!$E30</f>
        <v>81000000</v>
      </c>
      <c r="X29" s="241">
        <f>IOTable!X30*'Price Table'!$E30</f>
        <v>81000000</v>
      </c>
      <c r="Y29" s="241">
        <f>IOTable!Y30*'Price Table'!$E30</f>
        <v>81000000</v>
      </c>
      <c r="Z29" s="241">
        <f>IOTable!Z30*'Price Table'!$E30</f>
        <v>81000000</v>
      </c>
      <c r="AA29" s="241">
        <f>IOTable!AA30*'Price Table'!$E30</f>
        <v>81000000</v>
      </c>
      <c r="AB29" s="241">
        <f>IOTable!AB30*'Price Table'!$E30</f>
        <v>81000000</v>
      </c>
      <c r="AC29" s="241">
        <f>IOTable!AC30*'Price Table'!$E30</f>
        <v>81000000</v>
      </c>
      <c r="AD29" s="241">
        <f>IOTable!AD30*'Price Table'!$E30</f>
        <v>81000000</v>
      </c>
      <c r="AE29" s="241">
        <f>IOTable!AE30*'Price Table'!$E30</f>
        <v>81000000</v>
      </c>
      <c r="AF29" s="241">
        <f>IOTable!AF30*'Price Table'!$E30</f>
        <v>81000000</v>
      </c>
      <c r="AG29" s="241">
        <f>IOTable!AG30*'Price Table'!$E30</f>
        <v>81000000</v>
      </c>
    </row>
    <row r="30" spans="1:33" s="242" customFormat="1" ht="13.8">
      <c r="A30" s="250"/>
      <c r="B30" s="239"/>
      <c r="C30" s="240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41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</row>
    <row r="31" spans="1:33" s="242" customFormat="1" ht="13.8">
      <c r="A31" s="250"/>
      <c r="B31" s="251" t="s">
        <v>44</v>
      </c>
      <c r="C31" s="240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  <c r="AD31" s="241"/>
      <c r="AE31" s="241"/>
      <c r="AF31" s="241"/>
      <c r="AG31" s="241"/>
    </row>
    <row r="32" spans="1:33" s="242" customFormat="1" ht="13.8">
      <c r="A32" s="250"/>
      <c r="B32" s="249" t="s">
        <v>23</v>
      </c>
      <c r="C32" s="240" t="s">
        <v>58</v>
      </c>
      <c r="D32" s="241">
        <f>IOTable!D33*'Price Table'!$E33</f>
        <v>162000000</v>
      </c>
      <c r="E32" s="241">
        <f>IOTable!E33*'Price Table'!$E33</f>
        <v>162000000</v>
      </c>
      <c r="F32" s="241">
        <f>IOTable!F33*'Price Table'!$E33</f>
        <v>162000000</v>
      </c>
      <c r="G32" s="241">
        <f>IOTable!G33*'Price Table'!$E33</f>
        <v>162000000</v>
      </c>
      <c r="H32" s="241">
        <f>IOTable!H33*'Price Table'!$E33</f>
        <v>162000000</v>
      </c>
      <c r="I32" s="241">
        <f>IOTable!I33*'Price Table'!$E33</f>
        <v>162000000</v>
      </c>
      <c r="J32" s="241">
        <f>IOTable!J33*'Price Table'!$E33</f>
        <v>162000000</v>
      </c>
      <c r="K32" s="241">
        <f>IOTable!K33*'Price Table'!$E33</f>
        <v>162000000</v>
      </c>
      <c r="L32" s="241">
        <f>IOTable!L33*'Price Table'!$E33</f>
        <v>162000000</v>
      </c>
      <c r="M32" s="241">
        <f>IOTable!M33*'Price Table'!$E33</f>
        <v>162000000</v>
      </c>
      <c r="N32" s="241">
        <f>IOTable!N33*'Price Table'!$E33</f>
        <v>162000000</v>
      </c>
      <c r="O32" s="241">
        <f>IOTable!O33*'Price Table'!$E33</f>
        <v>162000000</v>
      </c>
      <c r="P32" s="241">
        <f>IOTable!P33*'Price Table'!$E33</f>
        <v>162000000</v>
      </c>
      <c r="Q32" s="241">
        <f>IOTable!Q33*'Price Table'!$E33</f>
        <v>162000000</v>
      </c>
      <c r="R32" s="241">
        <f>IOTable!R33*'Price Table'!$E33</f>
        <v>162000000</v>
      </c>
      <c r="S32" s="241">
        <f>IOTable!S33*'Price Table'!$E33</f>
        <v>162000000</v>
      </c>
      <c r="T32" s="241">
        <f>IOTable!T33*'Price Table'!$E33</f>
        <v>162000000</v>
      </c>
      <c r="U32" s="241">
        <f>IOTable!U33*'Price Table'!$E33</f>
        <v>162000000</v>
      </c>
      <c r="V32" s="241">
        <f>IOTable!V33*'Price Table'!$E33</f>
        <v>162000000</v>
      </c>
      <c r="W32" s="241">
        <f>IOTable!W33*'Price Table'!$E33</f>
        <v>162000000</v>
      </c>
      <c r="X32" s="241">
        <f>IOTable!X33*'Price Table'!$E33</f>
        <v>162000000</v>
      </c>
      <c r="Y32" s="241">
        <f>IOTable!Y33*'Price Table'!$E33</f>
        <v>162000000</v>
      </c>
      <c r="Z32" s="241">
        <f>IOTable!Z33*'Price Table'!$E33</f>
        <v>162000000</v>
      </c>
      <c r="AA32" s="241">
        <f>IOTable!AA33*'Price Table'!$E33</f>
        <v>162000000</v>
      </c>
      <c r="AB32" s="241">
        <f>IOTable!AB33*'Price Table'!$E33</f>
        <v>162000000</v>
      </c>
      <c r="AC32" s="241">
        <f>IOTable!AC33*'Price Table'!$E33</f>
        <v>162000000</v>
      </c>
      <c r="AD32" s="241">
        <f>IOTable!AD33*'Price Table'!$E33</f>
        <v>162000000</v>
      </c>
      <c r="AE32" s="241">
        <f>IOTable!AE33*'Price Table'!$E33</f>
        <v>162000000</v>
      </c>
      <c r="AF32" s="241">
        <f>IOTable!AF33*'Price Table'!$E33</f>
        <v>162000000</v>
      </c>
      <c r="AG32" s="241">
        <f>IOTable!AG33*'Price Table'!$E33</f>
        <v>162000000</v>
      </c>
    </row>
    <row r="33" spans="1:33" s="252" customFormat="1" ht="13.8">
      <c r="A33" s="238"/>
      <c r="B33" s="249" t="s">
        <v>18</v>
      </c>
      <c r="C33" s="240" t="s">
        <v>58</v>
      </c>
      <c r="D33" s="241">
        <f>IOTable!D34*'Price Table'!$E34</f>
        <v>189000000</v>
      </c>
      <c r="E33" s="241">
        <f>IOTable!E34*'Price Table'!$E34</f>
        <v>189000000</v>
      </c>
      <c r="F33" s="241">
        <f>IOTable!F34*'Price Table'!$E34</f>
        <v>189000000</v>
      </c>
      <c r="G33" s="241">
        <f>IOTable!G34*'Price Table'!$E34</f>
        <v>189000000</v>
      </c>
      <c r="H33" s="241">
        <f>IOTable!H34*'Price Table'!$E34</f>
        <v>189000000</v>
      </c>
      <c r="I33" s="241">
        <f>IOTable!I34*'Price Table'!$E34</f>
        <v>189000000</v>
      </c>
      <c r="J33" s="241">
        <f>IOTable!J34*'Price Table'!$E34</f>
        <v>189000000</v>
      </c>
      <c r="K33" s="241">
        <f>IOTable!K34*'Price Table'!$E34</f>
        <v>189000000</v>
      </c>
      <c r="L33" s="241">
        <f>IOTable!L34*'Price Table'!$E34</f>
        <v>189000000</v>
      </c>
      <c r="M33" s="241">
        <f>IOTable!M34*'Price Table'!$E34</f>
        <v>189000000</v>
      </c>
      <c r="N33" s="241">
        <f>IOTable!N34*'Price Table'!$E34</f>
        <v>189000000</v>
      </c>
      <c r="O33" s="241">
        <f>IOTable!O34*'Price Table'!$E34</f>
        <v>189000000</v>
      </c>
      <c r="P33" s="241">
        <f>IOTable!P34*'Price Table'!$E34</f>
        <v>189000000</v>
      </c>
      <c r="Q33" s="241">
        <f>IOTable!Q34*'Price Table'!$E34</f>
        <v>189000000</v>
      </c>
      <c r="R33" s="241">
        <f>IOTable!R34*'Price Table'!$E34</f>
        <v>189000000</v>
      </c>
      <c r="S33" s="241">
        <f>IOTable!S34*'Price Table'!$E34</f>
        <v>189000000</v>
      </c>
      <c r="T33" s="241">
        <f>IOTable!T34*'Price Table'!$E34</f>
        <v>189000000</v>
      </c>
      <c r="U33" s="241">
        <f>IOTable!U34*'Price Table'!$E34</f>
        <v>189000000</v>
      </c>
      <c r="V33" s="241">
        <f>IOTable!V34*'Price Table'!$E34</f>
        <v>189000000</v>
      </c>
      <c r="W33" s="241">
        <f>IOTable!W34*'Price Table'!$E34</f>
        <v>189000000</v>
      </c>
      <c r="X33" s="241">
        <f>IOTable!X34*'Price Table'!$E34</f>
        <v>189000000</v>
      </c>
      <c r="Y33" s="241">
        <f>IOTable!Y34*'Price Table'!$E34</f>
        <v>189000000</v>
      </c>
      <c r="Z33" s="241">
        <f>IOTable!Z34*'Price Table'!$E34</f>
        <v>189000000</v>
      </c>
      <c r="AA33" s="241">
        <f>IOTable!AA34*'Price Table'!$E34</f>
        <v>189000000</v>
      </c>
      <c r="AB33" s="241">
        <f>IOTable!AB34*'Price Table'!$E34</f>
        <v>189000000</v>
      </c>
      <c r="AC33" s="241">
        <f>IOTable!AC34*'Price Table'!$E34</f>
        <v>189000000</v>
      </c>
      <c r="AD33" s="241">
        <f>IOTable!AD34*'Price Table'!$E34</f>
        <v>189000000</v>
      </c>
      <c r="AE33" s="241">
        <f>IOTable!AE34*'Price Table'!$E34</f>
        <v>189000000</v>
      </c>
      <c r="AF33" s="241">
        <f>IOTable!AF34*'Price Table'!$E34</f>
        <v>189000000</v>
      </c>
      <c r="AG33" s="241">
        <f>IOTable!AG34*'Price Table'!$E34</f>
        <v>189000000</v>
      </c>
    </row>
    <row r="34" spans="1:33" s="242" customFormat="1" ht="13.8">
      <c r="A34" s="250"/>
      <c r="B34" s="249" t="s">
        <v>24</v>
      </c>
      <c r="C34" s="240" t="s">
        <v>58</v>
      </c>
      <c r="D34" s="241">
        <f>IOTable!D35*'Price Table'!$E35</f>
        <v>306000000</v>
      </c>
      <c r="E34" s="241">
        <f>IOTable!E35*'Price Table'!$E35</f>
        <v>306000000</v>
      </c>
      <c r="F34" s="241">
        <f>IOTable!F35*'Price Table'!$E35</f>
        <v>306000000</v>
      </c>
      <c r="G34" s="241">
        <f>IOTable!G35*'Price Table'!$E35</f>
        <v>306000000</v>
      </c>
      <c r="H34" s="241">
        <f>IOTable!H35*'Price Table'!$E35</f>
        <v>306000000</v>
      </c>
      <c r="I34" s="241">
        <f>IOTable!I35*'Price Table'!$E35</f>
        <v>306000000</v>
      </c>
      <c r="J34" s="241">
        <f>IOTable!J35*'Price Table'!$E35</f>
        <v>306000000</v>
      </c>
      <c r="K34" s="241">
        <f>IOTable!K35*'Price Table'!$E35</f>
        <v>306000000</v>
      </c>
      <c r="L34" s="241">
        <f>IOTable!L35*'Price Table'!$E35</f>
        <v>306000000</v>
      </c>
      <c r="M34" s="241">
        <f>IOTable!M35*'Price Table'!$E35</f>
        <v>306000000</v>
      </c>
      <c r="N34" s="241">
        <f>IOTable!N35*'Price Table'!$E35</f>
        <v>306000000</v>
      </c>
      <c r="O34" s="241">
        <f>IOTable!O35*'Price Table'!$E35</f>
        <v>306000000</v>
      </c>
      <c r="P34" s="241">
        <f>IOTable!P35*'Price Table'!$E35</f>
        <v>306000000</v>
      </c>
      <c r="Q34" s="241">
        <f>IOTable!Q35*'Price Table'!$E35</f>
        <v>306000000</v>
      </c>
      <c r="R34" s="241">
        <f>IOTable!R35*'Price Table'!$E35</f>
        <v>306000000</v>
      </c>
      <c r="S34" s="241">
        <f>IOTable!S35*'Price Table'!$E35</f>
        <v>306000000</v>
      </c>
      <c r="T34" s="241">
        <f>IOTable!T35*'Price Table'!$E35</f>
        <v>306000000</v>
      </c>
      <c r="U34" s="241">
        <f>IOTable!U35*'Price Table'!$E35</f>
        <v>306000000</v>
      </c>
      <c r="V34" s="241">
        <f>IOTable!V35*'Price Table'!$E35</f>
        <v>306000000</v>
      </c>
      <c r="W34" s="241">
        <f>IOTable!W35*'Price Table'!$E35</f>
        <v>306000000</v>
      </c>
      <c r="X34" s="241">
        <f>IOTable!X35*'Price Table'!$E35</f>
        <v>306000000</v>
      </c>
      <c r="Y34" s="241">
        <f>IOTable!Y35*'Price Table'!$E35</f>
        <v>306000000</v>
      </c>
      <c r="Z34" s="241">
        <f>IOTable!Z35*'Price Table'!$E35</f>
        <v>306000000</v>
      </c>
      <c r="AA34" s="241">
        <f>IOTable!AA35*'Price Table'!$E35</f>
        <v>306000000</v>
      </c>
      <c r="AB34" s="241">
        <f>IOTable!AB35*'Price Table'!$E35</f>
        <v>306000000</v>
      </c>
      <c r="AC34" s="241">
        <f>IOTable!AC35*'Price Table'!$E35</f>
        <v>306000000</v>
      </c>
      <c r="AD34" s="241">
        <f>IOTable!AD35*'Price Table'!$E35</f>
        <v>306000000</v>
      </c>
      <c r="AE34" s="241">
        <f>IOTable!AE35*'Price Table'!$E35</f>
        <v>306000000</v>
      </c>
      <c r="AF34" s="241">
        <f>IOTable!AF35*'Price Table'!$E35</f>
        <v>306000000</v>
      </c>
      <c r="AG34" s="241">
        <f>IOTable!AG35*'Price Table'!$E35</f>
        <v>306000000</v>
      </c>
    </row>
    <row r="35" spans="1:33" s="242" customFormat="1" ht="13.8">
      <c r="A35" s="250"/>
      <c r="B35" s="239"/>
      <c r="C35" s="240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1"/>
      <c r="U35" s="241"/>
      <c r="V35" s="241"/>
      <c r="W35" s="241"/>
      <c r="X35" s="241"/>
      <c r="Y35" s="241"/>
      <c r="Z35" s="241"/>
      <c r="AA35" s="241"/>
      <c r="AB35" s="241"/>
      <c r="AC35" s="241"/>
      <c r="AD35" s="241"/>
      <c r="AE35" s="241"/>
      <c r="AF35" s="241"/>
      <c r="AG35" s="241"/>
    </row>
    <row r="36" spans="1:33" ht="15.6">
      <c r="A36" s="189" t="s">
        <v>45</v>
      </c>
      <c r="B36" s="179"/>
      <c r="C36" s="237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</row>
    <row r="37" spans="1:33" s="242" customFormat="1" ht="13.8">
      <c r="A37" s="238"/>
      <c r="B37" s="239" t="s">
        <v>46</v>
      </c>
      <c r="C37" s="240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41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</row>
    <row r="38" spans="1:33" s="253" customFormat="1" ht="13.8">
      <c r="A38" s="238"/>
      <c r="B38" s="132" t="s">
        <v>218</v>
      </c>
      <c r="C38" s="240" t="s">
        <v>58</v>
      </c>
      <c r="D38" s="241">
        <f>IOTable!D39*'Price Table'!$E39</f>
        <v>200000000</v>
      </c>
      <c r="E38" s="241">
        <f>IOTable!E39*'Price Table'!$E39</f>
        <v>200000000</v>
      </c>
      <c r="F38" s="241">
        <f>IOTable!F39*'Price Table'!$E39</f>
        <v>200000000</v>
      </c>
      <c r="G38" s="241">
        <f>IOTable!G39*'Price Table'!$E39</f>
        <v>200000000</v>
      </c>
      <c r="H38" s="241">
        <f>IOTable!H39*'Price Table'!$E39</f>
        <v>200000000</v>
      </c>
      <c r="I38" s="241">
        <f>IOTable!I39*'Price Table'!$E39</f>
        <v>200000000</v>
      </c>
      <c r="J38" s="241">
        <f>IOTable!J39*'Price Table'!$E39</f>
        <v>200000000</v>
      </c>
      <c r="K38" s="241">
        <f>IOTable!K39*'Price Table'!$E39</f>
        <v>200000000</v>
      </c>
      <c r="L38" s="241">
        <f>IOTable!L39*'Price Table'!$E39</f>
        <v>200000000</v>
      </c>
      <c r="M38" s="241">
        <f>IOTable!M39*'Price Table'!$E39</f>
        <v>200000000</v>
      </c>
      <c r="N38" s="241">
        <f>IOTable!N39*'Price Table'!$E39</f>
        <v>200000000</v>
      </c>
      <c r="O38" s="241">
        <f>IOTable!O39*'Price Table'!$E39</f>
        <v>200000000</v>
      </c>
      <c r="P38" s="241">
        <f>IOTable!P39*'Price Table'!$E39</f>
        <v>200000000</v>
      </c>
      <c r="Q38" s="241">
        <f>IOTable!Q39*'Price Table'!$E39</f>
        <v>200000000</v>
      </c>
      <c r="R38" s="241">
        <f>IOTable!R39*'Price Table'!$E39</f>
        <v>200000000</v>
      </c>
      <c r="S38" s="241">
        <f>IOTable!S39*'Price Table'!$E39</f>
        <v>200000000</v>
      </c>
      <c r="T38" s="241">
        <f>IOTable!T39*'Price Table'!$E39</f>
        <v>200000000</v>
      </c>
      <c r="U38" s="241">
        <f>IOTable!U39*'Price Table'!$E39</f>
        <v>200000000</v>
      </c>
      <c r="V38" s="241">
        <f>IOTable!V39*'Price Table'!$E39</f>
        <v>200000000</v>
      </c>
      <c r="W38" s="241">
        <f>IOTable!W39*'Price Table'!$E39</f>
        <v>200000000</v>
      </c>
      <c r="X38" s="241">
        <f>IOTable!X39*'Price Table'!$E39</f>
        <v>200000000</v>
      </c>
      <c r="Y38" s="241">
        <f>IOTable!Y39*'Price Table'!$E39</f>
        <v>200000000</v>
      </c>
      <c r="Z38" s="241">
        <f>IOTable!Z39*'Price Table'!$E39</f>
        <v>200000000</v>
      </c>
      <c r="AA38" s="241">
        <f>IOTable!AA39*'Price Table'!$E39</f>
        <v>200000000</v>
      </c>
      <c r="AB38" s="241">
        <f>IOTable!AB39*'Price Table'!$E39</f>
        <v>200000000</v>
      </c>
      <c r="AC38" s="241">
        <f>IOTable!AC39*'Price Table'!$E39</f>
        <v>200000000</v>
      </c>
      <c r="AD38" s="241">
        <f>IOTable!AD39*'Price Table'!$E39</f>
        <v>200000000</v>
      </c>
      <c r="AE38" s="241">
        <f>IOTable!AE39*'Price Table'!$E39</f>
        <v>200000000</v>
      </c>
      <c r="AF38" s="241">
        <f>IOTable!AF39*'Price Table'!$E39</f>
        <v>200000000</v>
      </c>
      <c r="AG38" s="241">
        <f>IOTable!AG39*'Price Table'!$E39</f>
        <v>200000000</v>
      </c>
    </row>
    <row r="39" spans="1:33" s="253" customFormat="1" ht="13.8">
      <c r="A39" s="238"/>
      <c r="B39" s="132" t="s">
        <v>451</v>
      </c>
      <c r="C39" s="240" t="s">
        <v>58</v>
      </c>
      <c r="D39" s="241">
        <f>IOTable!D40*'Price Table'!$E40</f>
        <v>80000000</v>
      </c>
      <c r="E39" s="241">
        <f>IOTable!E40*'Price Table'!$E40</f>
        <v>80000000</v>
      </c>
      <c r="F39" s="241">
        <f>IOTable!F40*'Price Table'!$E40</f>
        <v>80000000</v>
      </c>
      <c r="G39" s="241">
        <f>IOTable!G40*'Price Table'!$E40</f>
        <v>80000000</v>
      </c>
      <c r="H39" s="241">
        <f>IOTable!H40*'Price Table'!$E40</f>
        <v>80000000</v>
      </c>
      <c r="I39" s="241">
        <f>IOTable!I40*'Price Table'!$E40</f>
        <v>80000000</v>
      </c>
      <c r="J39" s="241">
        <f>IOTable!J40*'Price Table'!$E40</f>
        <v>80000000</v>
      </c>
      <c r="K39" s="241">
        <f>IOTable!K40*'Price Table'!$E40</f>
        <v>80000000</v>
      </c>
      <c r="L39" s="241">
        <f>IOTable!L40*'Price Table'!$E40</f>
        <v>80000000</v>
      </c>
      <c r="M39" s="241">
        <f>IOTable!M40*'Price Table'!$E40</f>
        <v>80000000</v>
      </c>
      <c r="N39" s="241">
        <f>IOTable!N40*'Price Table'!$E40</f>
        <v>80000000</v>
      </c>
      <c r="O39" s="241">
        <f>IOTable!O40*'Price Table'!$E40</f>
        <v>80000000</v>
      </c>
      <c r="P39" s="241">
        <f>IOTable!P40*'Price Table'!$E40</f>
        <v>80000000</v>
      </c>
      <c r="Q39" s="241">
        <f>IOTable!Q40*'Price Table'!$E40</f>
        <v>80000000</v>
      </c>
      <c r="R39" s="241">
        <f>IOTable!R40*'Price Table'!$E40</f>
        <v>80000000</v>
      </c>
      <c r="S39" s="241">
        <f>IOTable!S40*'Price Table'!$E40</f>
        <v>80000000</v>
      </c>
      <c r="T39" s="241">
        <f>IOTable!T40*'Price Table'!$E40</f>
        <v>80000000</v>
      </c>
      <c r="U39" s="241">
        <f>IOTable!U40*'Price Table'!$E40</f>
        <v>80000000</v>
      </c>
      <c r="V39" s="241">
        <f>IOTable!V40*'Price Table'!$E40</f>
        <v>80000000</v>
      </c>
      <c r="W39" s="241">
        <f>IOTable!W40*'Price Table'!$E40</f>
        <v>80000000</v>
      </c>
      <c r="X39" s="241">
        <f>IOTable!X40*'Price Table'!$E40</f>
        <v>80000000</v>
      </c>
      <c r="Y39" s="241">
        <f>IOTable!Y40*'Price Table'!$E40</f>
        <v>80000000</v>
      </c>
      <c r="Z39" s="241">
        <f>IOTable!Z40*'Price Table'!$E40</f>
        <v>80000000</v>
      </c>
      <c r="AA39" s="241">
        <f>IOTable!AA40*'Price Table'!$E40</f>
        <v>80000000</v>
      </c>
      <c r="AB39" s="241">
        <f>IOTable!AB40*'Price Table'!$E40</f>
        <v>80000000</v>
      </c>
      <c r="AC39" s="241">
        <f>IOTable!AC40*'Price Table'!$E40</f>
        <v>80000000</v>
      </c>
      <c r="AD39" s="241">
        <f>IOTable!AD40*'Price Table'!$E40</f>
        <v>80000000</v>
      </c>
      <c r="AE39" s="241">
        <f>IOTable!AE40*'Price Table'!$E40</f>
        <v>80000000</v>
      </c>
      <c r="AF39" s="241">
        <f>IOTable!AF40*'Price Table'!$E40</f>
        <v>80000000</v>
      </c>
      <c r="AG39" s="241">
        <f>IOTable!AG40*'Price Table'!$E40</f>
        <v>80000000</v>
      </c>
    </row>
    <row r="40" spans="1:33" s="253" customFormat="1" ht="13.8">
      <c r="A40" s="238"/>
      <c r="B40" s="132" t="s">
        <v>452</v>
      </c>
      <c r="C40" s="240" t="s">
        <v>58</v>
      </c>
      <c r="D40" s="241">
        <f>IOTable!D41*'Price Table'!$E41</f>
        <v>1600000</v>
      </c>
      <c r="E40" s="241">
        <f>IOTable!E41*'Price Table'!$E41</f>
        <v>1600000</v>
      </c>
      <c r="F40" s="241">
        <f>IOTable!F41*'Price Table'!$E41</f>
        <v>1600000</v>
      </c>
      <c r="G40" s="241">
        <f>IOTable!G41*'Price Table'!$E41</f>
        <v>1600000</v>
      </c>
      <c r="H40" s="241">
        <f>IOTable!H41*'Price Table'!$E41</f>
        <v>1600000</v>
      </c>
      <c r="I40" s="241">
        <f>IOTable!I41*'Price Table'!$E41</f>
        <v>1600000</v>
      </c>
      <c r="J40" s="241">
        <f>IOTable!J41*'Price Table'!$E41</f>
        <v>1600000</v>
      </c>
      <c r="K40" s="241">
        <f>IOTable!K41*'Price Table'!$E41</f>
        <v>1600000</v>
      </c>
      <c r="L40" s="241">
        <f>IOTable!L41*'Price Table'!$E41</f>
        <v>1600000</v>
      </c>
      <c r="M40" s="241">
        <f>IOTable!M41*'Price Table'!$E41</f>
        <v>1600000</v>
      </c>
      <c r="N40" s="241">
        <f>IOTable!N41*'Price Table'!$E41</f>
        <v>1600000</v>
      </c>
      <c r="O40" s="241">
        <f>IOTable!O41*'Price Table'!$E41</f>
        <v>1600000</v>
      </c>
      <c r="P40" s="241">
        <f>IOTable!P41*'Price Table'!$E41</f>
        <v>1600000</v>
      </c>
      <c r="Q40" s="241">
        <f>IOTable!Q41*'Price Table'!$E41</f>
        <v>1600000</v>
      </c>
      <c r="R40" s="241">
        <f>IOTable!R41*'Price Table'!$E41</f>
        <v>1600000</v>
      </c>
      <c r="S40" s="241">
        <f>IOTable!S41*'Price Table'!$E41</f>
        <v>1600000</v>
      </c>
      <c r="T40" s="241">
        <f>IOTable!T41*'Price Table'!$E41</f>
        <v>1600000</v>
      </c>
      <c r="U40" s="241">
        <f>IOTable!U41*'Price Table'!$E41</f>
        <v>1600000</v>
      </c>
      <c r="V40" s="241">
        <f>IOTable!V41*'Price Table'!$E41</f>
        <v>1600000</v>
      </c>
      <c r="W40" s="241">
        <f>IOTable!W41*'Price Table'!$E41</f>
        <v>1600000</v>
      </c>
      <c r="X40" s="241">
        <f>IOTable!X41*'Price Table'!$E41</f>
        <v>1600000</v>
      </c>
      <c r="Y40" s="241">
        <f>IOTable!Y41*'Price Table'!$E41</f>
        <v>1600000</v>
      </c>
      <c r="Z40" s="241">
        <f>IOTable!Z41*'Price Table'!$E41</f>
        <v>1600000</v>
      </c>
      <c r="AA40" s="241">
        <f>IOTable!AA41*'Price Table'!$E41</f>
        <v>1600000</v>
      </c>
      <c r="AB40" s="241">
        <f>IOTable!AB41*'Price Table'!$E41</f>
        <v>1600000</v>
      </c>
      <c r="AC40" s="241">
        <f>IOTable!AC41*'Price Table'!$E41</f>
        <v>1600000</v>
      </c>
      <c r="AD40" s="241">
        <f>IOTable!AD41*'Price Table'!$E41</f>
        <v>1600000</v>
      </c>
      <c r="AE40" s="241">
        <f>IOTable!AE41*'Price Table'!$E41</f>
        <v>1600000</v>
      </c>
      <c r="AF40" s="241">
        <f>IOTable!AF41*'Price Table'!$E41</f>
        <v>1600000</v>
      </c>
      <c r="AG40" s="241">
        <f>IOTable!AG41*'Price Table'!$E41</f>
        <v>1600000</v>
      </c>
    </row>
    <row r="41" spans="1:33" s="253" customFormat="1" ht="13.8">
      <c r="A41" s="238"/>
      <c r="B41" s="132" t="s">
        <v>454</v>
      </c>
      <c r="C41" s="240" t="s">
        <v>58</v>
      </c>
      <c r="D41" s="241">
        <f>IOTable!D42*'Price Table'!$E42</f>
        <v>20800000</v>
      </c>
      <c r="E41" s="241">
        <f>IOTable!E42*'Price Table'!$E42</f>
        <v>20800000</v>
      </c>
      <c r="F41" s="241">
        <f>IOTable!F42*'Price Table'!$E42</f>
        <v>20800000</v>
      </c>
      <c r="G41" s="241">
        <f>IOTable!G42*'Price Table'!$E42</f>
        <v>20800000</v>
      </c>
      <c r="H41" s="241">
        <f>IOTable!H42*'Price Table'!$E42</f>
        <v>20800000</v>
      </c>
      <c r="I41" s="241">
        <f>IOTable!I42*'Price Table'!$E42</f>
        <v>20800000</v>
      </c>
      <c r="J41" s="241">
        <f>IOTable!J42*'Price Table'!$E42</f>
        <v>20800000</v>
      </c>
      <c r="K41" s="241">
        <f>IOTable!K42*'Price Table'!$E42</f>
        <v>20800000</v>
      </c>
      <c r="L41" s="241">
        <f>IOTable!L42*'Price Table'!$E42</f>
        <v>20800000</v>
      </c>
      <c r="M41" s="241">
        <f>IOTable!M42*'Price Table'!$E42</f>
        <v>20800000</v>
      </c>
      <c r="N41" s="241">
        <f>IOTable!N42*'Price Table'!$E42</f>
        <v>20800000</v>
      </c>
      <c r="O41" s="241">
        <f>IOTable!O42*'Price Table'!$E42</f>
        <v>20800000</v>
      </c>
      <c r="P41" s="241">
        <f>IOTable!P42*'Price Table'!$E42</f>
        <v>20800000</v>
      </c>
      <c r="Q41" s="241">
        <f>IOTable!Q42*'Price Table'!$E42</f>
        <v>20800000</v>
      </c>
      <c r="R41" s="241">
        <f>IOTable!R42*'Price Table'!$E42</f>
        <v>20800000</v>
      </c>
      <c r="S41" s="241">
        <f>IOTable!S42*'Price Table'!$E42</f>
        <v>20800000</v>
      </c>
      <c r="T41" s="241">
        <f>IOTable!T42*'Price Table'!$E42</f>
        <v>20800000</v>
      </c>
      <c r="U41" s="241">
        <f>IOTable!U42*'Price Table'!$E42</f>
        <v>20800000</v>
      </c>
      <c r="V41" s="241">
        <f>IOTable!V42*'Price Table'!$E42</f>
        <v>20800000</v>
      </c>
      <c r="W41" s="241">
        <f>IOTable!W42*'Price Table'!$E42</f>
        <v>20800000</v>
      </c>
      <c r="X41" s="241">
        <f>IOTable!X42*'Price Table'!$E42</f>
        <v>20800000</v>
      </c>
      <c r="Y41" s="241">
        <f>IOTable!Y42*'Price Table'!$E42</f>
        <v>20800000</v>
      </c>
      <c r="Z41" s="241">
        <f>IOTable!Z42*'Price Table'!$E42</f>
        <v>20800000</v>
      </c>
      <c r="AA41" s="241">
        <f>IOTable!AA42*'Price Table'!$E42</f>
        <v>20800000</v>
      </c>
      <c r="AB41" s="241">
        <f>IOTable!AB42*'Price Table'!$E42</f>
        <v>20800000</v>
      </c>
      <c r="AC41" s="241">
        <f>IOTable!AC42*'Price Table'!$E42</f>
        <v>20800000</v>
      </c>
      <c r="AD41" s="241">
        <f>IOTable!AD42*'Price Table'!$E42</f>
        <v>20800000</v>
      </c>
      <c r="AE41" s="241">
        <f>IOTable!AE42*'Price Table'!$E42</f>
        <v>20800000</v>
      </c>
      <c r="AF41" s="241">
        <f>IOTable!AF42*'Price Table'!$E42</f>
        <v>20800000</v>
      </c>
      <c r="AG41" s="241">
        <f>IOTable!AG42*'Price Table'!$E42</f>
        <v>20800000</v>
      </c>
    </row>
    <row r="42" spans="1:33" s="253" customFormat="1" ht="13.8">
      <c r="A42" s="238"/>
      <c r="B42" s="132" t="s">
        <v>453</v>
      </c>
      <c r="C42" s="240" t="s">
        <v>58</v>
      </c>
      <c r="D42" s="241">
        <f>IOTable!D43*'Price Table'!$E43</f>
        <v>3326563.1999999997</v>
      </c>
      <c r="E42" s="241">
        <f>IOTable!E43*'Price Table'!$E43</f>
        <v>3326563.1999999997</v>
      </c>
      <c r="F42" s="241">
        <f>IOTable!F43*'Price Table'!$E43</f>
        <v>3326563.1999999997</v>
      </c>
      <c r="G42" s="241">
        <f>IOTable!G43*'Price Table'!$E43</f>
        <v>3326563.1999999997</v>
      </c>
      <c r="H42" s="241">
        <f>IOTable!H43*'Price Table'!$E43</f>
        <v>3326563.1999999997</v>
      </c>
      <c r="I42" s="241">
        <f>IOTable!I43*'Price Table'!$E43</f>
        <v>3326563.1999999997</v>
      </c>
      <c r="J42" s="241">
        <f>IOTable!J43*'Price Table'!$E43</f>
        <v>3326563.1999999997</v>
      </c>
      <c r="K42" s="241">
        <f>IOTable!K43*'Price Table'!$E43</f>
        <v>3326563.1999999997</v>
      </c>
      <c r="L42" s="241">
        <f>IOTable!L43*'Price Table'!$E43</f>
        <v>3326563.1999999997</v>
      </c>
      <c r="M42" s="241">
        <f>IOTable!M43*'Price Table'!$E43</f>
        <v>3326563.1999999997</v>
      </c>
      <c r="N42" s="241">
        <f>IOTable!N43*'Price Table'!$E43</f>
        <v>3326563.1999999997</v>
      </c>
      <c r="O42" s="241">
        <f>IOTable!O43*'Price Table'!$E43</f>
        <v>3326563.1999999997</v>
      </c>
      <c r="P42" s="241">
        <f>IOTable!P43*'Price Table'!$E43</f>
        <v>3326563.1999999997</v>
      </c>
      <c r="Q42" s="241">
        <f>IOTable!Q43*'Price Table'!$E43</f>
        <v>3326563.1999999997</v>
      </c>
      <c r="R42" s="241">
        <f>IOTable!R43*'Price Table'!$E43</f>
        <v>3326563.1999999997</v>
      </c>
      <c r="S42" s="241">
        <f>IOTable!S43*'Price Table'!$E43</f>
        <v>3326563.1999999997</v>
      </c>
      <c r="T42" s="241">
        <f>IOTable!T43*'Price Table'!$E43</f>
        <v>3326563.1999999997</v>
      </c>
      <c r="U42" s="241">
        <f>IOTable!U43*'Price Table'!$E43</f>
        <v>3326563.1999999997</v>
      </c>
      <c r="V42" s="241">
        <f>IOTable!V43*'Price Table'!$E43</f>
        <v>3326563.1999999997</v>
      </c>
      <c r="W42" s="241">
        <f>IOTable!W43*'Price Table'!$E43</f>
        <v>3326563.1999999997</v>
      </c>
      <c r="X42" s="241">
        <f>IOTable!X43*'Price Table'!$E43</f>
        <v>3326563.1999999997</v>
      </c>
      <c r="Y42" s="241">
        <f>IOTable!Y43*'Price Table'!$E43</f>
        <v>3326563.1999999997</v>
      </c>
      <c r="Z42" s="241">
        <f>IOTable!Z43*'Price Table'!$E43</f>
        <v>3326563.1999999997</v>
      </c>
      <c r="AA42" s="241">
        <f>IOTable!AA43*'Price Table'!$E43</f>
        <v>3326563.1999999997</v>
      </c>
      <c r="AB42" s="241">
        <f>IOTable!AB43*'Price Table'!$E43</f>
        <v>3326563.1999999997</v>
      </c>
      <c r="AC42" s="241">
        <f>IOTable!AC43*'Price Table'!$E43</f>
        <v>3328163.1999999997</v>
      </c>
      <c r="AD42" s="241">
        <f>IOTable!AD43*'Price Table'!$E43</f>
        <v>3329763.1999999997</v>
      </c>
      <c r="AE42" s="241">
        <f>IOTable!AE43*'Price Table'!$E43</f>
        <v>3331363.1999999997</v>
      </c>
      <c r="AF42" s="241">
        <f>IOTable!AF43*'Price Table'!$E43</f>
        <v>3332963.1999999997</v>
      </c>
      <c r="AG42" s="241">
        <f>IOTable!AG43*'Price Table'!$E43</f>
        <v>3334563.1999999997</v>
      </c>
    </row>
    <row r="43" spans="1:33" s="242" customFormat="1" ht="13.8">
      <c r="A43" s="238"/>
      <c r="B43" s="239" t="s">
        <v>47</v>
      </c>
      <c r="C43" s="240" t="s">
        <v>58</v>
      </c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41"/>
      <c r="U43" s="241"/>
      <c r="V43" s="241"/>
      <c r="W43" s="241"/>
      <c r="X43" s="241"/>
      <c r="Y43" s="241"/>
      <c r="Z43" s="241"/>
      <c r="AA43" s="241"/>
      <c r="AB43" s="241"/>
      <c r="AC43" s="241"/>
      <c r="AD43" s="241"/>
      <c r="AE43" s="241"/>
      <c r="AF43" s="241"/>
      <c r="AG43" s="241"/>
    </row>
    <row r="44" spans="1:33" s="242" customFormat="1" ht="13.8">
      <c r="A44" s="238"/>
      <c r="B44" s="265" t="s">
        <v>258</v>
      </c>
      <c r="C44" s="240" t="s">
        <v>58</v>
      </c>
      <c r="D44" s="241">
        <f>IOTable!D45*'Price Table'!$E45</f>
        <v>69000000</v>
      </c>
      <c r="E44" s="241">
        <f>IOTable!E45*'Price Table'!$E45</f>
        <v>0</v>
      </c>
      <c r="F44" s="241">
        <f>IOTable!F45*'Price Table'!$E45</f>
        <v>0</v>
      </c>
      <c r="G44" s="241">
        <f>IOTable!G45*'Price Table'!$E45</f>
        <v>0</v>
      </c>
      <c r="H44" s="241">
        <f>IOTable!H45*'Price Table'!$E45</f>
        <v>0</v>
      </c>
      <c r="I44" s="241">
        <f>IOTable!I45*'Price Table'!$E45</f>
        <v>0</v>
      </c>
      <c r="J44" s="241">
        <f>IOTable!J45*'Price Table'!$E45</f>
        <v>0</v>
      </c>
      <c r="K44" s="241">
        <f>IOTable!K45*'Price Table'!$E45</f>
        <v>0</v>
      </c>
      <c r="L44" s="241">
        <f>IOTable!L45*'Price Table'!$E45</f>
        <v>0</v>
      </c>
      <c r="M44" s="241">
        <f>IOTable!M45*'Price Table'!$E45</f>
        <v>0</v>
      </c>
      <c r="N44" s="241">
        <f>IOTable!N45*'Price Table'!$E45</f>
        <v>0</v>
      </c>
      <c r="O44" s="241">
        <f>IOTable!O45*'Price Table'!$E45</f>
        <v>0</v>
      </c>
      <c r="P44" s="241">
        <f>IOTable!P45*'Price Table'!$E45</f>
        <v>0</v>
      </c>
      <c r="Q44" s="241">
        <f>IOTable!Q45*'Price Table'!$E45</f>
        <v>0</v>
      </c>
      <c r="R44" s="241">
        <f>IOTable!R45*'Price Table'!$E45</f>
        <v>0</v>
      </c>
      <c r="S44" s="241">
        <f>IOTable!S45*'Price Table'!$E45</f>
        <v>0</v>
      </c>
      <c r="T44" s="241">
        <f>IOTable!T45*'Price Table'!$E45</f>
        <v>0</v>
      </c>
      <c r="U44" s="241">
        <f>IOTable!U45*'Price Table'!$E45</f>
        <v>0</v>
      </c>
      <c r="V44" s="241">
        <f>IOTable!V45*'Price Table'!$E45</f>
        <v>0</v>
      </c>
      <c r="W44" s="241">
        <f>IOTable!W45*'Price Table'!$E45</f>
        <v>0</v>
      </c>
      <c r="X44" s="241">
        <f>IOTable!X45*'Price Table'!$E45</f>
        <v>161000000</v>
      </c>
      <c r="Y44" s="241">
        <f>IOTable!Y45*'Price Table'!$E45</f>
        <v>0</v>
      </c>
      <c r="Z44" s="241">
        <f>IOTable!Z45*'Price Table'!$E45</f>
        <v>0</v>
      </c>
      <c r="AA44" s="241">
        <f>IOTable!AA45*'Price Table'!$E45</f>
        <v>0</v>
      </c>
      <c r="AB44" s="241">
        <f>IOTable!AB45*'Price Table'!$E45</f>
        <v>0</v>
      </c>
      <c r="AC44" s="241">
        <f>IOTable!AC45*'Price Table'!$E45</f>
        <v>0</v>
      </c>
      <c r="AD44" s="241">
        <f>IOTable!AD45*'Price Table'!$E45</f>
        <v>0</v>
      </c>
      <c r="AE44" s="241">
        <f>IOTable!AE45*'Price Table'!$E45</f>
        <v>0</v>
      </c>
      <c r="AF44" s="241">
        <f>IOTable!AF45*'Price Table'!$E45</f>
        <v>0</v>
      </c>
      <c r="AG44" s="241">
        <f>IOTable!AG45*'Price Table'!$E45</f>
        <v>0</v>
      </c>
    </row>
    <row r="45" spans="1:33" s="242" customFormat="1" ht="13.8">
      <c r="A45" s="238"/>
      <c r="B45" s="265" t="s">
        <v>257</v>
      </c>
      <c r="C45" s="240" t="s">
        <v>58</v>
      </c>
      <c r="D45" s="241">
        <f>IOTable!D46*'Price Table'!$E46</f>
        <v>10500000</v>
      </c>
      <c r="E45" s="241">
        <f>IOTable!E46*'Price Table'!$E46</f>
        <v>0</v>
      </c>
      <c r="F45" s="241">
        <f>IOTable!F46*'Price Table'!$E46</f>
        <v>0</v>
      </c>
      <c r="G45" s="241">
        <f>IOTable!G46*'Price Table'!$E46</f>
        <v>0</v>
      </c>
      <c r="H45" s="241">
        <f>IOTable!H46*'Price Table'!$E46</f>
        <v>0</v>
      </c>
      <c r="I45" s="241">
        <f>IOTable!I46*'Price Table'!$E46</f>
        <v>10500000</v>
      </c>
      <c r="J45" s="241">
        <f>IOTable!J46*'Price Table'!$E46</f>
        <v>0</v>
      </c>
      <c r="K45" s="241">
        <f>IOTable!K46*'Price Table'!$E46</f>
        <v>0</v>
      </c>
      <c r="L45" s="241">
        <f>IOTable!L46*'Price Table'!$E46</f>
        <v>0</v>
      </c>
      <c r="M45" s="241">
        <f>IOTable!M46*'Price Table'!$E46</f>
        <v>0</v>
      </c>
      <c r="N45" s="241">
        <f>IOTable!N46*'Price Table'!$E46</f>
        <v>10500000</v>
      </c>
      <c r="O45" s="241">
        <f>IOTable!O46*'Price Table'!$E46</f>
        <v>0</v>
      </c>
      <c r="P45" s="241">
        <f>IOTable!P46*'Price Table'!$E46</f>
        <v>0</v>
      </c>
      <c r="Q45" s="241">
        <f>IOTable!Q46*'Price Table'!$E46</f>
        <v>0</v>
      </c>
      <c r="R45" s="241">
        <f>IOTable!R46*'Price Table'!$E46</f>
        <v>0</v>
      </c>
      <c r="S45" s="241">
        <f>IOTable!S46*'Price Table'!$E46</f>
        <v>10500000</v>
      </c>
      <c r="T45" s="241">
        <f>IOTable!T46*'Price Table'!$E46</f>
        <v>0</v>
      </c>
      <c r="U45" s="241">
        <f>IOTable!U46*'Price Table'!$E46</f>
        <v>0</v>
      </c>
      <c r="V45" s="241">
        <f>IOTable!V46*'Price Table'!$E46</f>
        <v>0</v>
      </c>
      <c r="W45" s="241">
        <f>IOTable!W46*'Price Table'!$E46</f>
        <v>0</v>
      </c>
      <c r="X45" s="241">
        <f>IOTable!X46*'Price Table'!$E46</f>
        <v>10500000</v>
      </c>
      <c r="Y45" s="241">
        <f>IOTable!Y46*'Price Table'!$E46</f>
        <v>0</v>
      </c>
      <c r="Z45" s="241">
        <f>IOTable!Z46*'Price Table'!$E46</f>
        <v>0</v>
      </c>
      <c r="AA45" s="241">
        <f>IOTable!AA46*'Price Table'!$E46</f>
        <v>0</v>
      </c>
      <c r="AB45" s="241">
        <f>IOTable!AB46*'Price Table'!$E46</f>
        <v>0</v>
      </c>
      <c r="AC45" s="241">
        <f>IOTable!AC46*'Price Table'!$E46</f>
        <v>0</v>
      </c>
      <c r="AD45" s="241">
        <f>IOTable!AD46*'Price Table'!$E46</f>
        <v>0</v>
      </c>
      <c r="AE45" s="241">
        <f>IOTable!AE46*'Price Table'!$E46</f>
        <v>0</v>
      </c>
      <c r="AF45" s="241">
        <f>IOTable!AF46*'Price Table'!$E46</f>
        <v>0</v>
      </c>
      <c r="AG45" s="241">
        <f>IOTable!AG46*'Price Table'!$E46</f>
        <v>0</v>
      </c>
    </row>
    <row r="46" spans="1:33" s="242" customFormat="1" ht="13.8">
      <c r="A46" s="238"/>
      <c r="B46" s="265" t="s">
        <v>256</v>
      </c>
      <c r="C46" s="240" t="s">
        <v>58</v>
      </c>
      <c r="D46" s="241">
        <f>IOTable!D47*'Price Table'!$E47</f>
        <v>1050000</v>
      </c>
      <c r="E46" s="241">
        <f>IOTable!E47*'Price Table'!$E47</f>
        <v>1050000</v>
      </c>
      <c r="F46" s="241">
        <f>IOTable!F47*'Price Table'!$E47</f>
        <v>1050000</v>
      </c>
      <c r="G46" s="241">
        <f>IOTable!G47*'Price Table'!$E47</f>
        <v>1050000</v>
      </c>
      <c r="H46" s="241">
        <f>IOTable!H47*'Price Table'!$E47</f>
        <v>1050000</v>
      </c>
      <c r="I46" s="241">
        <f>IOTable!I47*'Price Table'!$E47</f>
        <v>1050000</v>
      </c>
      <c r="J46" s="241">
        <f>IOTable!J47*'Price Table'!$E47</f>
        <v>1050000</v>
      </c>
      <c r="K46" s="241">
        <f>IOTable!K47*'Price Table'!$E47</f>
        <v>1050000</v>
      </c>
      <c r="L46" s="241">
        <f>IOTable!L47*'Price Table'!$E47</f>
        <v>1050000</v>
      </c>
      <c r="M46" s="241">
        <f>IOTable!M47*'Price Table'!$E47</f>
        <v>1050000</v>
      </c>
      <c r="N46" s="241">
        <f>IOTable!N47*'Price Table'!$E47</f>
        <v>1050000</v>
      </c>
      <c r="O46" s="241">
        <f>IOTable!O47*'Price Table'!$E47</f>
        <v>1050000</v>
      </c>
      <c r="P46" s="241">
        <f>IOTable!P47*'Price Table'!$E47</f>
        <v>1050000</v>
      </c>
      <c r="Q46" s="241">
        <f>IOTable!Q47*'Price Table'!$E47</f>
        <v>1050000</v>
      </c>
      <c r="R46" s="241">
        <f>IOTable!R47*'Price Table'!$E47</f>
        <v>1050000</v>
      </c>
      <c r="S46" s="241">
        <f>IOTable!S47*'Price Table'!$E47</f>
        <v>1050000</v>
      </c>
      <c r="T46" s="241">
        <f>IOTable!T47*'Price Table'!$E47</f>
        <v>1050000</v>
      </c>
      <c r="U46" s="241">
        <f>IOTable!U47*'Price Table'!$E47</f>
        <v>1050000</v>
      </c>
      <c r="V46" s="241">
        <f>IOTable!V47*'Price Table'!$E47</f>
        <v>1050000</v>
      </c>
      <c r="W46" s="241">
        <f>IOTable!W47*'Price Table'!$E47</f>
        <v>1050000</v>
      </c>
      <c r="X46" s="241">
        <f>IOTable!X47*'Price Table'!$E47</f>
        <v>1050000</v>
      </c>
      <c r="Y46" s="241">
        <f>IOTable!Y47*'Price Table'!$E47</f>
        <v>1050000</v>
      </c>
      <c r="Z46" s="241">
        <f>IOTable!Z47*'Price Table'!$E47</f>
        <v>1050000</v>
      </c>
      <c r="AA46" s="241">
        <f>IOTable!AA47*'Price Table'!$E47</f>
        <v>1050000</v>
      </c>
      <c r="AB46" s="241">
        <f>IOTable!AB47*'Price Table'!$E47</f>
        <v>1050000</v>
      </c>
      <c r="AC46" s="241">
        <f>IOTable!AC47*'Price Table'!$E47</f>
        <v>1050000</v>
      </c>
      <c r="AD46" s="241">
        <f>IOTable!AD47*'Price Table'!$E47</f>
        <v>1050000</v>
      </c>
      <c r="AE46" s="241">
        <f>IOTable!AE47*'Price Table'!$E47</f>
        <v>1050000</v>
      </c>
      <c r="AF46" s="241">
        <f>IOTable!AF47*'Price Table'!$E47</f>
        <v>1050000</v>
      </c>
      <c r="AG46" s="241">
        <f>IOTable!AG47*'Price Table'!$E47</f>
        <v>1050000</v>
      </c>
    </row>
    <row r="47" spans="1:33" s="242" customFormat="1" ht="13.8">
      <c r="A47" s="238"/>
      <c r="B47" s="248" t="s">
        <v>458</v>
      </c>
      <c r="C47" s="240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1"/>
      <c r="W47" s="241"/>
      <c r="X47" s="241"/>
      <c r="Y47" s="241"/>
      <c r="Z47" s="241"/>
      <c r="AA47" s="241"/>
      <c r="AB47" s="241"/>
      <c r="AC47" s="241"/>
      <c r="AD47" s="241"/>
      <c r="AE47" s="241"/>
      <c r="AF47" s="241"/>
      <c r="AG47" s="241"/>
    </row>
    <row r="48" spans="1:33" s="242" customFormat="1" ht="13.8">
      <c r="A48" s="238"/>
      <c r="B48" s="132" t="s">
        <v>406</v>
      </c>
      <c r="C48" s="240" t="s">
        <v>58</v>
      </c>
      <c r="D48" s="241">
        <f>IOTable!D49*'Price Table'!$E49</f>
        <v>1431750000</v>
      </c>
      <c r="E48" s="241">
        <f>IOTable!E49*'Price Table'!$E49</f>
        <v>1431750000</v>
      </c>
      <c r="F48" s="241">
        <f>IOTable!F49*'Price Table'!$E49</f>
        <v>1431750000</v>
      </c>
      <c r="G48" s="241">
        <f>IOTable!G49*'Price Table'!$E49</f>
        <v>1431750000</v>
      </c>
      <c r="H48" s="241">
        <f>IOTable!H49*'Price Table'!$E49</f>
        <v>1431750000</v>
      </c>
      <c r="I48" s="241">
        <f>IOTable!I49*'Price Table'!$E49</f>
        <v>1431750000</v>
      </c>
      <c r="J48" s="241">
        <f>IOTable!J49*'Price Table'!$E49</f>
        <v>1431750000</v>
      </c>
      <c r="K48" s="241">
        <f>IOTable!K49*'Price Table'!$E49</f>
        <v>1431750000</v>
      </c>
      <c r="L48" s="241">
        <f>IOTable!L49*'Price Table'!$E49</f>
        <v>1431750000</v>
      </c>
      <c r="M48" s="241">
        <f>IOTable!M49*'Price Table'!$E49</f>
        <v>1431750000</v>
      </c>
      <c r="N48" s="241">
        <f>IOTable!N49*'Price Table'!$E49</f>
        <v>1431750000</v>
      </c>
      <c r="O48" s="241">
        <f>IOTable!O49*'Price Table'!$E49</f>
        <v>1431750000</v>
      </c>
      <c r="P48" s="241">
        <f>IOTable!P49*'Price Table'!$E49</f>
        <v>1431750000</v>
      </c>
      <c r="Q48" s="241">
        <f>IOTable!Q49*'Price Table'!$E49</f>
        <v>1431750000</v>
      </c>
      <c r="R48" s="241">
        <f>IOTable!R49*'Price Table'!$E49</f>
        <v>1431750000</v>
      </c>
      <c r="S48" s="241">
        <f>IOTable!S49*'Price Table'!$E49</f>
        <v>1431750000</v>
      </c>
      <c r="T48" s="241">
        <f>IOTable!T49*'Price Table'!$E49</f>
        <v>1431750000</v>
      </c>
      <c r="U48" s="241">
        <f>IOTable!U49*'Price Table'!$E49</f>
        <v>1431750000</v>
      </c>
      <c r="V48" s="241">
        <f>IOTable!V49*'Price Table'!$E49</f>
        <v>1431750000</v>
      </c>
      <c r="W48" s="241">
        <f>IOTable!W49*'Price Table'!$E49</f>
        <v>1431750000</v>
      </c>
      <c r="X48" s="241">
        <f>IOTable!X49*'Price Table'!$E49</f>
        <v>1431750000</v>
      </c>
      <c r="Y48" s="241">
        <f>IOTable!Y49*'Price Table'!$E49</f>
        <v>1431750000</v>
      </c>
      <c r="Z48" s="241">
        <f>IOTable!Z49*'Price Table'!$E49</f>
        <v>1431750000</v>
      </c>
      <c r="AA48" s="241">
        <f>IOTable!AA49*'Price Table'!$E49</f>
        <v>1431750000</v>
      </c>
      <c r="AB48" s="241">
        <f>IOTable!AB49*'Price Table'!$E49</f>
        <v>1431750000</v>
      </c>
      <c r="AC48" s="241">
        <f>IOTable!AC49*'Price Table'!$E49</f>
        <v>1431750000</v>
      </c>
      <c r="AD48" s="241">
        <f>IOTable!AD49*'Price Table'!$E49</f>
        <v>1431750000</v>
      </c>
      <c r="AE48" s="241">
        <f>IOTable!AE49*'Price Table'!$E49</f>
        <v>1431750000</v>
      </c>
      <c r="AF48" s="241">
        <f>IOTable!AF49*'Price Table'!$E49</f>
        <v>1431750000</v>
      </c>
      <c r="AG48" s="241">
        <f>IOTable!AG49*'Price Table'!$E49</f>
        <v>1431750000</v>
      </c>
    </row>
    <row r="49" spans="1:33" s="242" customFormat="1" ht="13.8">
      <c r="A49" s="238"/>
      <c r="B49" s="132" t="s">
        <v>407</v>
      </c>
      <c r="C49" s="240" t="s">
        <v>58</v>
      </c>
      <c r="D49" s="241">
        <f>IOTable!D50*'Price Table'!$E50</f>
        <v>2403749999.9999995</v>
      </c>
      <c r="E49" s="241">
        <f>IOTable!E50*'Price Table'!$E50</f>
        <v>2403749999.9999995</v>
      </c>
      <c r="F49" s="241">
        <f>IOTable!F50*'Price Table'!$E50</f>
        <v>2403749999.9999995</v>
      </c>
      <c r="G49" s="241">
        <f>IOTable!G50*'Price Table'!$E50</f>
        <v>2403749999.9999995</v>
      </c>
      <c r="H49" s="241">
        <f>IOTable!H50*'Price Table'!$E50</f>
        <v>2403749999.9999995</v>
      </c>
      <c r="I49" s="241">
        <f>IOTable!I50*'Price Table'!$E50</f>
        <v>2403749999.9999995</v>
      </c>
      <c r="J49" s="241">
        <f>IOTable!J50*'Price Table'!$E50</f>
        <v>2403749999.9999995</v>
      </c>
      <c r="K49" s="241">
        <f>IOTable!K50*'Price Table'!$E50</f>
        <v>2403749999.9999995</v>
      </c>
      <c r="L49" s="241">
        <f>IOTable!L50*'Price Table'!$E50</f>
        <v>2403749999.9999995</v>
      </c>
      <c r="M49" s="241">
        <f>IOTable!M50*'Price Table'!$E50</f>
        <v>2403749999.9999995</v>
      </c>
      <c r="N49" s="241">
        <f>IOTable!N50*'Price Table'!$E50</f>
        <v>2403749999.9999995</v>
      </c>
      <c r="O49" s="241">
        <f>IOTable!O50*'Price Table'!$E50</f>
        <v>2403749999.9999995</v>
      </c>
      <c r="P49" s="241">
        <f>IOTable!P50*'Price Table'!$E50</f>
        <v>2403749999.9999995</v>
      </c>
      <c r="Q49" s="241">
        <f>IOTable!Q50*'Price Table'!$E50</f>
        <v>2403749999.9999995</v>
      </c>
      <c r="R49" s="241">
        <f>IOTable!R50*'Price Table'!$E50</f>
        <v>2403749999.9999995</v>
      </c>
      <c r="S49" s="241">
        <f>IOTable!S50*'Price Table'!$E50</f>
        <v>2403749999.9999995</v>
      </c>
      <c r="T49" s="241">
        <f>IOTable!T50*'Price Table'!$E50</f>
        <v>2403749999.9999995</v>
      </c>
      <c r="U49" s="241">
        <f>IOTable!U50*'Price Table'!$E50</f>
        <v>2403749999.9999995</v>
      </c>
      <c r="V49" s="241">
        <f>IOTable!V50*'Price Table'!$E50</f>
        <v>2403749999.9999995</v>
      </c>
      <c r="W49" s="241">
        <f>IOTable!W50*'Price Table'!$E50</f>
        <v>2403749999.9999995</v>
      </c>
      <c r="X49" s="241">
        <f>IOTable!X50*'Price Table'!$E50</f>
        <v>2403749999.9999995</v>
      </c>
      <c r="Y49" s="241">
        <f>IOTable!Y50*'Price Table'!$E50</f>
        <v>2403749999.9999995</v>
      </c>
      <c r="Z49" s="241">
        <f>IOTable!Z50*'Price Table'!$E50</f>
        <v>2403749999.9999995</v>
      </c>
      <c r="AA49" s="241">
        <f>IOTable!AA50*'Price Table'!$E50</f>
        <v>2403749999.9999995</v>
      </c>
      <c r="AB49" s="241">
        <f>IOTable!AB50*'Price Table'!$E50</f>
        <v>2403749999.9999995</v>
      </c>
      <c r="AC49" s="241">
        <f>IOTable!AC50*'Price Table'!$E50</f>
        <v>2403749999.9999995</v>
      </c>
      <c r="AD49" s="241">
        <f>IOTable!AD50*'Price Table'!$E50</f>
        <v>2403749999.9999995</v>
      </c>
      <c r="AE49" s="241">
        <f>IOTable!AE50*'Price Table'!$E50</f>
        <v>2403749999.9999995</v>
      </c>
      <c r="AF49" s="241">
        <f>IOTable!AF50*'Price Table'!$E50</f>
        <v>2403749999.9999995</v>
      </c>
      <c r="AG49" s="241">
        <f>IOTable!AG50*'Price Table'!$E50</f>
        <v>2403749999.9999995</v>
      </c>
    </row>
    <row r="50" spans="1:33" s="242" customFormat="1" ht="13.8">
      <c r="A50" s="238"/>
      <c r="B50" s="239" t="s">
        <v>49</v>
      </c>
      <c r="C50" s="240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</row>
    <row r="51" spans="1:33" s="242" customFormat="1" ht="13.8">
      <c r="A51" s="238"/>
      <c r="B51" s="132" t="s">
        <v>400</v>
      </c>
      <c r="C51" s="240" t="s">
        <v>58</v>
      </c>
      <c r="D51" s="241">
        <f>IOTable!D52*'Price Table'!$E52</f>
        <v>4183785150.3031988</v>
      </c>
      <c r="E51" s="241">
        <f>IOTable!E52*'Price Table'!$E52</f>
        <v>4183785150.3031988</v>
      </c>
      <c r="F51" s="241">
        <f>IOTable!F52*'Price Table'!$E52</f>
        <v>4183785150.3031988</v>
      </c>
      <c r="G51" s="241">
        <f>IOTable!G52*'Price Table'!$E52</f>
        <v>4183785150.3031988</v>
      </c>
      <c r="H51" s="241">
        <f>IOTable!H52*'Price Table'!$E52</f>
        <v>4183785150.3031988</v>
      </c>
      <c r="I51" s="241">
        <f>IOTable!I52*'Price Table'!$E52</f>
        <v>4183785150.3031988</v>
      </c>
      <c r="J51" s="241">
        <f>IOTable!J52*'Price Table'!$E52</f>
        <v>4183785150.3031988</v>
      </c>
      <c r="K51" s="241">
        <f>IOTable!K52*'Price Table'!$E52</f>
        <v>4183785150.3031988</v>
      </c>
      <c r="L51" s="241">
        <f>IOTable!L52*'Price Table'!$E52</f>
        <v>4183785150.3031988</v>
      </c>
      <c r="M51" s="241">
        <f>IOTable!M52*'Price Table'!$E52</f>
        <v>4183785150.3031988</v>
      </c>
      <c r="N51" s="241">
        <f>IOTable!N52*'Price Table'!$E52</f>
        <v>4183785150.3031988</v>
      </c>
      <c r="O51" s="241">
        <f>IOTable!O52*'Price Table'!$E52</f>
        <v>4183785150.3031988</v>
      </c>
      <c r="P51" s="241">
        <f>IOTable!P52*'Price Table'!$E52</f>
        <v>4183785150.3031988</v>
      </c>
      <c r="Q51" s="241">
        <f>IOTable!Q52*'Price Table'!$E52</f>
        <v>4183785150.3031988</v>
      </c>
      <c r="R51" s="241">
        <f>IOTable!R52*'Price Table'!$E52</f>
        <v>4183785150.3031988</v>
      </c>
      <c r="S51" s="241">
        <f>IOTable!S52*'Price Table'!$E52</f>
        <v>4183785150.3031988</v>
      </c>
      <c r="T51" s="241">
        <f>IOTable!T52*'Price Table'!$E52</f>
        <v>4183785150.3031988</v>
      </c>
      <c r="U51" s="241">
        <f>IOTable!U52*'Price Table'!$E52</f>
        <v>4183785150.3031988</v>
      </c>
      <c r="V51" s="241">
        <f>IOTable!V52*'Price Table'!$E52</f>
        <v>4183785150.3031988</v>
      </c>
      <c r="W51" s="241">
        <f>IOTable!W52*'Price Table'!$E52</f>
        <v>4183785150.3031988</v>
      </c>
      <c r="X51" s="241">
        <f>IOTable!X52*'Price Table'!$E52</f>
        <v>4183785150.3031988</v>
      </c>
      <c r="Y51" s="241">
        <f>IOTable!Y52*'Price Table'!$E52</f>
        <v>4183785150.3031988</v>
      </c>
      <c r="Z51" s="241">
        <f>IOTable!Z52*'Price Table'!$E52</f>
        <v>4183785150.3031988</v>
      </c>
      <c r="AA51" s="241">
        <f>IOTable!AA52*'Price Table'!$E52</f>
        <v>4183785150.3031988</v>
      </c>
      <c r="AB51" s="241">
        <f>IOTable!AB52*'Price Table'!$E52</f>
        <v>4183785150.3031988</v>
      </c>
      <c r="AC51" s="241">
        <f>IOTable!AC52*'Price Table'!$E52</f>
        <v>4183785150.3031988</v>
      </c>
      <c r="AD51" s="241">
        <f>IOTable!AD52*'Price Table'!$E52</f>
        <v>4183785150.3031988</v>
      </c>
      <c r="AE51" s="241">
        <f>IOTable!AE52*'Price Table'!$E52</f>
        <v>4183785150.3031988</v>
      </c>
      <c r="AF51" s="241">
        <f>IOTable!AF52*'Price Table'!$E52</f>
        <v>4183785150.3031988</v>
      </c>
      <c r="AG51" s="241">
        <f>IOTable!AG52*'Price Table'!$E52</f>
        <v>4183785150.3031988</v>
      </c>
    </row>
    <row r="52" spans="1:33" s="242" customFormat="1" ht="13.8">
      <c r="A52" s="238"/>
      <c r="B52" s="132" t="s">
        <v>401</v>
      </c>
      <c r="C52" s="240" t="s">
        <v>58</v>
      </c>
      <c r="D52" s="241">
        <f>IOTable!D53*'Price Table'!$E53</f>
        <v>117101905.69944337</v>
      </c>
      <c r="E52" s="241">
        <f>IOTable!E53*'Price Table'!$E53</f>
        <v>117101905.69944337</v>
      </c>
      <c r="F52" s="241">
        <f>IOTable!F53*'Price Table'!$E53</f>
        <v>117101905.69944337</v>
      </c>
      <c r="G52" s="241">
        <f>IOTable!G53*'Price Table'!$E53</f>
        <v>117101905.69944337</v>
      </c>
      <c r="H52" s="241">
        <f>IOTable!H53*'Price Table'!$E53</f>
        <v>117101905.69944337</v>
      </c>
      <c r="I52" s="241">
        <f>IOTable!I53*'Price Table'!$E53</f>
        <v>117101905.69944337</v>
      </c>
      <c r="J52" s="241">
        <f>IOTable!J53*'Price Table'!$E53</f>
        <v>117101905.69944337</v>
      </c>
      <c r="K52" s="241">
        <f>IOTable!K53*'Price Table'!$E53</f>
        <v>117101905.69944337</v>
      </c>
      <c r="L52" s="241">
        <f>IOTable!L53*'Price Table'!$E53</f>
        <v>117101905.69944337</v>
      </c>
      <c r="M52" s="241">
        <f>IOTable!M53*'Price Table'!$E53</f>
        <v>117101905.69944337</v>
      </c>
      <c r="N52" s="241">
        <f>IOTable!N53*'Price Table'!$E53</f>
        <v>117101905.69944337</v>
      </c>
      <c r="O52" s="241">
        <f>IOTable!O53*'Price Table'!$E53</f>
        <v>117101905.69944337</v>
      </c>
      <c r="P52" s="241">
        <f>IOTable!P53*'Price Table'!$E53</f>
        <v>117101905.69944337</v>
      </c>
      <c r="Q52" s="241">
        <f>IOTable!Q53*'Price Table'!$E53</f>
        <v>117101905.69944337</v>
      </c>
      <c r="R52" s="241">
        <f>IOTable!R53*'Price Table'!$E53</f>
        <v>117101905.69944337</v>
      </c>
      <c r="S52" s="241">
        <f>IOTable!S53*'Price Table'!$E53</f>
        <v>117101905.69944337</v>
      </c>
      <c r="T52" s="241">
        <f>IOTable!T53*'Price Table'!$E53</f>
        <v>117101905.69944337</v>
      </c>
      <c r="U52" s="241">
        <f>IOTable!U53*'Price Table'!$E53</f>
        <v>117101905.69944337</v>
      </c>
      <c r="V52" s="241">
        <f>IOTable!V53*'Price Table'!$E53</f>
        <v>117101905.69944337</v>
      </c>
      <c r="W52" s="241">
        <f>IOTable!W53*'Price Table'!$E53</f>
        <v>117101905.69944337</v>
      </c>
      <c r="X52" s="241">
        <f>IOTable!X53*'Price Table'!$E53</f>
        <v>117101905.69944337</v>
      </c>
      <c r="Y52" s="241">
        <f>IOTable!Y53*'Price Table'!$E53</f>
        <v>117101905.69944337</v>
      </c>
      <c r="Z52" s="241">
        <f>IOTable!Z53*'Price Table'!$E53</f>
        <v>117101905.69944337</v>
      </c>
      <c r="AA52" s="241">
        <f>IOTable!AA53*'Price Table'!$E53</f>
        <v>117101905.69944337</v>
      </c>
      <c r="AB52" s="241">
        <f>IOTable!AB53*'Price Table'!$E53</f>
        <v>117101905.69944337</v>
      </c>
      <c r="AC52" s="241">
        <f>IOTable!AC53*'Price Table'!$E53</f>
        <v>117101905.69944337</v>
      </c>
      <c r="AD52" s="241">
        <f>IOTable!AD53*'Price Table'!$E53</f>
        <v>117101905.69944337</v>
      </c>
      <c r="AE52" s="241">
        <f>IOTable!AE53*'Price Table'!$E53</f>
        <v>117101905.69944337</v>
      </c>
      <c r="AF52" s="241">
        <f>IOTable!AF53*'Price Table'!$E53</f>
        <v>117101905.69944337</v>
      </c>
      <c r="AG52" s="241">
        <f>IOTable!AG53*'Price Table'!$E53</f>
        <v>117101905.69944337</v>
      </c>
    </row>
    <row r="53" spans="1:33" s="242" customFormat="1" ht="13.8">
      <c r="A53" s="238"/>
      <c r="B53" s="132" t="s">
        <v>402</v>
      </c>
      <c r="C53" s="240" t="s">
        <v>58</v>
      </c>
      <c r="D53" s="241">
        <f>IOTable!D54*'Price Table'!$E54</f>
        <v>12782767.623402225</v>
      </c>
      <c r="E53" s="241">
        <f>IOTable!E54*'Price Table'!$E54</f>
        <v>12782767.623402225</v>
      </c>
      <c r="F53" s="241">
        <f>IOTable!F54*'Price Table'!$E54</f>
        <v>12782767.623402225</v>
      </c>
      <c r="G53" s="241">
        <f>IOTable!G54*'Price Table'!$E54</f>
        <v>12782767.623402225</v>
      </c>
      <c r="H53" s="241">
        <f>IOTable!H54*'Price Table'!$E54</f>
        <v>12782767.623402225</v>
      </c>
      <c r="I53" s="241">
        <f>IOTable!I54*'Price Table'!$E54</f>
        <v>12782767.623402225</v>
      </c>
      <c r="J53" s="241">
        <f>IOTable!J54*'Price Table'!$E54</f>
        <v>12782767.623402225</v>
      </c>
      <c r="K53" s="241">
        <f>IOTable!K54*'Price Table'!$E54</f>
        <v>12782767.623402225</v>
      </c>
      <c r="L53" s="241">
        <f>IOTable!L54*'Price Table'!$E54</f>
        <v>12782767.623402225</v>
      </c>
      <c r="M53" s="241">
        <f>IOTable!M54*'Price Table'!$E54</f>
        <v>12782767.623402225</v>
      </c>
      <c r="N53" s="241">
        <f>IOTable!N54*'Price Table'!$E54</f>
        <v>12782767.623402225</v>
      </c>
      <c r="O53" s="241">
        <f>IOTable!O54*'Price Table'!$E54</f>
        <v>12782767.623402225</v>
      </c>
      <c r="P53" s="241">
        <f>IOTable!P54*'Price Table'!$E54</f>
        <v>12782767.623402225</v>
      </c>
      <c r="Q53" s="241">
        <f>IOTable!Q54*'Price Table'!$E54</f>
        <v>12782767.623402225</v>
      </c>
      <c r="R53" s="241">
        <f>IOTable!R54*'Price Table'!$E54</f>
        <v>12782767.623402225</v>
      </c>
      <c r="S53" s="241">
        <f>IOTable!S54*'Price Table'!$E54</f>
        <v>12782767.623402225</v>
      </c>
      <c r="T53" s="241">
        <f>IOTable!T54*'Price Table'!$E54</f>
        <v>12782767.623402225</v>
      </c>
      <c r="U53" s="241">
        <f>IOTable!U54*'Price Table'!$E54</f>
        <v>12782767.623402225</v>
      </c>
      <c r="V53" s="241">
        <f>IOTable!V54*'Price Table'!$E54</f>
        <v>12782767.623402225</v>
      </c>
      <c r="W53" s="241">
        <f>IOTable!W54*'Price Table'!$E54</f>
        <v>12782767.623402225</v>
      </c>
      <c r="X53" s="241">
        <f>IOTable!X54*'Price Table'!$E54</f>
        <v>12782767.623402225</v>
      </c>
      <c r="Y53" s="241">
        <f>IOTable!Y54*'Price Table'!$E54</f>
        <v>12782767.623402225</v>
      </c>
      <c r="Z53" s="241">
        <f>IOTable!Z54*'Price Table'!$E54</f>
        <v>12782767.623402225</v>
      </c>
      <c r="AA53" s="241">
        <f>IOTable!AA54*'Price Table'!$E54</f>
        <v>12782767.623402225</v>
      </c>
      <c r="AB53" s="241">
        <f>IOTable!AB54*'Price Table'!$E54</f>
        <v>12782767.623402225</v>
      </c>
      <c r="AC53" s="241">
        <f>IOTable!AC54*'Price Table'!$E54</f>
        <v>12782767.623402225</v>
      </c>
      <c r="AD53" s="241">
        <f>IOTable!AD54*'Price Table'!$E54</f>
        <v>12782767.623402225</v>
      </c>
      <c r="AE53" s="241">
        <f>IOTable!AE54*'Price Table'!$E54</f>
        <v>12782767.623402225</v>
      </c>
      <c r="AF53" s="241">
        <f>IOTable!AF54*'Price Table'!$E54</f>
        <v>12782767.623402225</v>
      </c>
      <c r="AG53" s="241">
        <f>IOTable!AG54*'Price Table'!$E54</f>
        <v>12782767.623402225</v>
      </c>
    </row>
    <row r="54" spans="1:33" s="242" customFormat="1" ht="13.8">
      <c r="A54" s="238"/>
      <c r="B54" s="132" t="s">
        <v>408</v>
      </c>
      <c r="C54" s="240" t="s">
        <v>58</v>
      </c>
      <c r="D54" s="241">
        <f>IOTable!D55*'Price Table'!$E55</f>
        <v>4331125188.1876078</v>
      </c>
      <c r="E54" s="241">
        <f>IOTable!E55*'Price Table'!$E55</f>
        <v>4331125188.1876078</v>
      </c>
      <c r="F54" s="241">
        <f>IOTable!F55*'Price Table'!$E55</f>
        <v>4331125188.1876078</v>
      </c>
      <c r="G54" s="241">
        <f>IOTable!G55*'Price Table'!$E55</f>
        <v>4331125188.1876078</v>
      </c>
      <c r="H54" s="241">
        <f>IOTable!H55*'Price Table'!$E55</f>
        <v>4331125188.1876078</v>
      </c>
      <c r="I54" s="241">
        <f>IOTable!I55*'Price Table'!$E55</f>
        <v>4331125188.1876078</v>
      </c>
      <c r="J54" s="241">
        <f>IOTable!J55*'Price Table'!$E55</f>
        <v>4331125188.1876078</v>
      </c>
      <c r="K54" s="241">
        <f>IOTable!K55*'Price Table'!$E55</f>
        <v>4331125188.1876078</v>
      </c>
      <c r="L54" s="241">
        <f>IOTable!L55*'Price Table'!$E55</f>
        <v>4331125188.1876078</v>
      </c>
      <c r="M54" s="241">
        <f>IOTable!M55*'Price Table'!$E55</f>
        <v>4331125188.1876078</v>
      </c>
      <c r="N54" s="241">
        <f>IOTable!N55*'Price Table'!$E55</f>
        <v>4331125188.1876078</v>
      </c>
      <c r="O54" s="241">
        <f>IOTable!O55*'Price Table'!$E55</f>
        <v>4331125188.1876078</v>
      </c>
      <c r="P54" s="241">
        <f>IOTable!P55*'Price Table'!$E55</f>
        <v>4331125188.1876078</v>
      </c>
      <c r="Q54" s="241">
        <f>IOTable!Q55*'Price Table'!$E55</f>
        <v>4331125188.1876078</v>
      </c>
      <c r="R54" s="241">
        <f>IOTable!R55*'Price Table'!$E55</f>
        <v>4331125188.1876078</v>
      </c>
      <c r="S54" s="241">
        <f>IOTable!S55*'Price Table'!$E55</f>
        <v>4331125188.1876078</v>
      </c>
      <c r="T54" s="241">
        <f>IOTable!T55*'Price Table'!$E55</f>
        <v>4331125188.1876078</v>
      </c>
      <c r="U54" s="241">
        <f>IOTable!U55*'Price Table'!$E55</f>
        <v>4331125188.1876078</v>
      </c>
      <c r="V54" s="241">
        <f>IOTable!V55*'Price Table'!$E55</f>
        <v>4331125188.1876078</v>
      </c>
      <c r="W54" s="241">
        <f>IOTable!W55*'Price Table'!$E55</f>
        <v>4331125188.1876078</v>
      </c>
      <c r="X54" s="241">
        <f>IOTable!X55*'Price Table'!$E55</f>
        <v>4331125188.1876078</v>
      </c>
      <c r="Y54" s="241">
        <f>IOTable!Y55*'Price Table'!$E55</f>
        <v>4331125188.1876078</v>
      </c>
      <c r="Z54" s="241">
        <f>IOTable!Z55*'Price Table'!$E55</f>
        <v>4331125188.1876078</v>
      </c>
      <c r="AA54" s="241">
        <f>IOTable!AA55*'Price Table'!$E55</f>
        <v>4331125188.1876078</v>
      </c>
      <c r="AB54" s="241">
        <f>IOTable!AB55*'Price Table'!$E55</f>
        <v>4331125188.1876078</v>
      </c>
      <c r="AC54" s="241">
        <f>IOTable!AC55*'Price Table'!$E55</f>
        <v>4331125188.1876078</v>
      </c>
      <c r="AD54" s="241">
        <f>IOTable!AD55*'Price Table'!$E55</f>
        <v>4331125188.1876078</v>
      </c>
      <c r="AE54" s="241">
        <f>IOTable!AE55*'Price Table'!$E55</f>
        <v>4331125188.1876078</v>
      </c>
      <c r="AF54" s="241">
        <f>IOTable!AF55*'Price Table'!$E55</f>
        <v>4331125188.1876078</v>
      </c>
      <c r="AG54" s="241">
        <f>IOTable!AG55*'Price Table'!$E55</f>
        <v>4331125188.1876078</v>
      </c>
    </row>
    <row r="55" spans="1:33" s="242" customFormat="1" ht="13.8">
      <c r="A55" s="238"/>
      <c r="B55" s="132" t="s">
        <v>409</v>
      </c>
      <c r="C55" s="240" t="s">
        <v>58</v>
      </c>
      <c r="D55" s="241">
        <f>IOTable!D56*'Price Table'!$E56</f>
        <v>98496022.991246298</v>
      </c>
      <c r="E55" s="241">
        <f>IOTable!E56*'Price Table'!$E56</f>
        <v>98496022.991246298</v>
      </c>
      <c r="F55" s="241">
        <f>IOTable!F56*'Price Table'!$E56</f>
        <v>98496022.991246298</v>
      </c>
      <c r="G55" s="241">
        <f>IOTable!G56*'Price Table'!$E56</f>
        <v>98496022.991246298</v>
      </c>
      <c r="H55" s="241">
        <f>IOTable!H56*'Price Table'!$E56</f>
        <v>98496022.991246298</v>
      </c>
      <c r="I55" s="241">
        <f>IOTable!I56*'Price Table'!$E56</f>
        <v>98496022.991246298</v>
      </c>
      <c r="J55" s="241">
        <f>IOTable!J56*'Price Table'!$E56</f>
        <v>98496022.991246298</v>
      </c>
      <c r="K55" s="241">
        <f>IOTable!K56*'Price Table'!$E56</f>
        <v>98496022.991246298</v>
      </c>
      <c r="L55" s="241">
        <f>IOTable!L56*'Price Table'!$E56</f>
        <v>98496022.991246298</v>
      </c>
      <c r="M55" s="241">
        <f>IOTable!M56*'Price Table'!$E56</f>
        <v>98496022.991246298</v>
      </c>
      <c r="N55" s="241">
        <f>IOTable!N56*'Price Table'!$E56</f>
        <v>98496022.991246298</v>
      </c>
      <c r="O55" s="241">
        <f>IOTable!O56*'Price Table'!$E56</f>
        <v>98496022.991246298</v>
      </c>
      <c r="P55" s="241">
        <f>IOTable!P56*'Price Table'!$E56</f>
        <v>98496022.991246298</v>
      </c>
      <c r="Q55" s="241">
        <f>IOTable!Q56*'Price Table'!$E56</f>
        <v>98496022.991246298</v>
      </c>
      <c r="R55" s="241">
        <f>IOTable!R56*'Price Table'!$E56</f>
        <v>98496022.991246298</v>
      </c>
      <c r="S55" s="241">
        <f>IOTable!S56*'Price Table'!$E56</f>
        <v>98496022.991246298</v>
      </c>
      <c r="T55" s="241">
        <f>IOTable!T56*'Price Table'!$E56</f>
        <v>98496022.991246298</v>
      </c>
      <c r="U55" s="241">
        <f>IOTable!U56*'Price Table'!$E56</f>
        <v>98496022.991246298</v>
      </c>
      <c r="V55" s="241">
        <f>IOTable!V56*'Price Table'!$E56</f>
        <v>98496022.991246298</v>
      </c>
      <c r="W55" s="241">
        <f>IOTable!W56*'Price Table'!$E56</f>
        <v>98496022.991246298</v>
      </c>
      <c r="X55" s="241">
        <f>IOTable!X56*'Price Table'!$E56</f>
        <v>98496022.991246298</v>
      </c>
      <c r="Y55" s="241">
        <f>IOTable!Y56*'Price Table'!$E56</f>
        <v>98496022.991246298</v>
      </c>
      <c r="Z55" s="241">
        <f>IOTable!Z56*'Price Table'!$E56</f>
        <v>98496022.991246298</v>
      </c>
      <c r="AA55" s="241">
        <f>IOTable!AA56*'Price Table'!$E56</f>
        <v>98496022.991246298</v>
      </c>
      <c r="AB55" s="241">
        <f>IOTable!AB56*'Price Table'!$E56</f>
        <v>98496022.991246298</v>
      </c>
      <c r="AC55" s="241">
        <f>IOTable!AC56*'Price Table'!$E56</f>
        <v>98496022.991246298</v>
      </c>
      <c r="AD55" s="241">
        <f>IOTable!AD56*'Price Table'!$E56</f>
        <v>98496022.991246298</v>
      </c>
      <c r="AE55" s="241">
        <f>IOTable!AE56*'Price Table'!$E56</f>
        <v>98496022.991246298</v>
      </c>
      <c r="AF55" s="241">
        <f>IOTable!AF56*'Price Table'!$E56</f>
        <v>98496022.991246298</v>
      </c>
      <c r="AG55" s="241">
        <f>IOTable!AG56*'Price Table'!$E56</f>
        <v>98496022.991246298</v>
      </c>
    </row>
    <row r="56" spans="1:33" s="242" customFormat="1" ht="13.8">
      <c r="A56" s="238"/>
      <c r="B56" s="132" t="s">
        <v>410</v>
      </c>
      <c r="C56" s="240" t="s">
        <v>58</v>
      </c>
      <c r="D56" s="241">
        <f>IOTable!D57*'Price Table'!$E57</f>
        <v>14887054.531830104</v>
      </c>
      <c r="E56" s="241">
        <f>IOTable!E57*'Price Table'!$E57</f>
        <v>14887054.531830104</v>
      </c>
      <c r="F56" s="241">
        <f>IOTable!F57*'Price Table'!$E57</f>
        <v>14887054.531830104</v>
      </c>
      <c r="G56" s="241">
        <f>IOTable!G57*'Price Table'!$E57</f>
        <v>14887054.531830104</v>
      </c>
      <c r="H56" s="241">
        <f>IOTable!H57*'Price Table'!$E57</f>
        <v>14887054.531830104</v>
      </c>
      <c r="I56" s="241">
        <f>IOTable!I57*'Price Table'!$E57</f>
        <v>14887054.531830104</v>
      </c>
      <c r="J56" s="241">
        <f>IOTable!J57*'Price Table'!$E57</f>
        <v>14887054.531830104</v>
      </c>
      <c r="K56" s="241">
        <f>IOTable!K57*'Price Table'!$E57</f>
        <v>14887054.531830104</v>
      </c>
      <c r="L56" s="241">
        <f>IOTable!L57*'Price Table'!$E57</f>
        <v>14887054.531830104</v>
      </c>
      <c r="M56" s="241">
        <f>IOTable!M57*'Price Table'!$E57</f>
        <v>14887054.531830104</v>
      </c>
      <c r="N56" s="241">
        <f>IOTable!N57*'Price Table'!$E57</f>
        <v>14887054.531830104</v>
      </c>
      <c r="O56" s="241">
        <f>IOTable!O57*'Price Table'!$E57</f>
        <v>14887054.531830104</v>
      </c>
      <c r="P56" s="241">
        <f>IOTable!P57*'Price Table'!$E57</f>
        <v>14887054.531830104</v>
      </c>
      <c r="Q56" s="241">
        <f>IOTable!Q57*'Price Table'!$E57</f>
        <v>14887054.531830104</v>
      </c>
      <c r="R56" s="241">
        <f>IOTable!R57*'Price Table'!$E57</f>
        <v>14887054.531830104</v>
      </c>
      <c r="S56" s="241">
        <f>IOTable!S57*'Price Table'!$E57</f>
        <v>14887054.531830104</v>
      </c>
      <c r="T56" s="241">
        <f>IOTable!T57*'Price Table'!$E57</f>
        <v>14887054.531830104</v>
      </c>
      <c r="U56" s="241">
        <f>IOTable!U57*'Price Table'!$E57</f>
        <v>14887054.531830104</v>
      </c>
      <c r="V56" s="241">
        <f>IOTable!V57*'Price Table'!$E57</f>
        <v>14887054.531830104</v>
      </c>
      <c r="W56" s="241">
        <f>IOTable!W57*'Price Table'!$E57</f>
        <v>14887054.531830104</v>
      </c>
      <c r="X56" s="241">
        <f>IOTable!X57*'Price Table'!$E57</f>
        <v>14887054.531830104</v>
      </c>
      <c r="Y56" s="241">
        <f>IOTable!Y57*'Price Table'!$E57</f>
        <v>14887054.531830104</v>
      </c>
      <c r="Z56" s="241">
        <f>IOTable!Z57*'Price Table'!$E57</f>
        <v>14887054.531830104</v>
      </c>
      <c r="AA56" s="241">
        <f>IOTable!AA57*'Price Table'!$E57</f>
        <v>14887054.531830104</v>
      </c>
      <c r="AB56" s="241">
        <f>IOTable!AB57*'Price Table'!$E57</f>
        <v>14887054.531830104</v>
      </c>
      <c r="AC56" s="241">
        <f>IOTable!AC57*'Price Table'!$E57</f>
        <v>14887054.531830104</v>
      </c>
      <c r="AD56" s="241">
        <f>IOTable!AD57*'Price Table'!$E57</f>
        <v>14887054.531830104</v>
      </c>
      <c r="AE56" s="241">
        <f>IOTable!AE57*'Price Table'!$E57</f>
        <v>14887054.531830104</v>
      </c>
      <c r="AF56" s="241">
        <f>IOTable!AF57*'Price Table'!$E57</f>
        <v>14887054.531830104</v>
      </c>
      <c r="AG56" s="241">
        <f>IOTable!AG57*'Price Table'!$E57</f>
        <v>14887054.531830104</v>
      </c>
    </row>
    <row r="57" spans="1:33" s="242" customFormat="1" ht="13.8">
      <c r="A57" s="238"/>
      <c r="B57" s="132" t="s">
        <v>1</v>
      </c>
      <c r="C57" s="240" t="s">
        <v>58</v>
      </c>
      <c r="D57" s="241">
        <f>IOTable!D58*'Price Table'!$E58</f>
        <v>400000000</v>
      </c>
      <c r="E57" s="241">
        <f>IOTable!E58*'Price Table'!$E58</f>
        <v>400000000</v>
      </c>
      <c r="F57" s="241">
        <f>IOTable!F58*'Price Table'!$E58</f>
        <v>400000000</v>
      </c>
      <c r="G57" s="241">
        <f>IOTable!G58*'Price Table'!$E58</f>
        <v>400000000</v>
      </c>
      <c r="H57" s="241">
        <f>IOTable!H58*'Price Table'!$E58</f>
        <v>400000000</v>
      </c>
      <c r="I57" s="241">
        <f>IOTable!I58*'Price Table'!$E58</f>
        <v>400000000</v>
      </c>
      <c r="J57" s="241">
        <f>IOTable!J58*'Price Table'!$E58</f>
        <v>400000000</v>
      </c>
      <c r="K57" s="241">
        <f>IOTable!K58*'Price Table'!$E58</f>
        <v>400000000</v>
      </c>
      <c r="L57" s="241">
        <f>IOTable!L58*'Price Table'!$E58</f>
        <v>400000000</v>
      </c>
      <c r="M57" s="241">
        <f>IOTable!M58*'Price Table'!$E58</f>
        <v>400000000</v>
      </c>
      <c r="N57" s="241">
        <f>IOTable!N58*'Price Table'!$E58</f>
        <v>400000000</v>
      </c>
      <c r="O57" s="241">
        <f>IOTable!O58*'Price Table'!$E58</f>
        <v>400000000</v>
      </c>
      <c r="P57" s="241">
        <f>IOTable!P58*'Price Table'!$E58</f>
        <v>400000000</v>
      </c>
      <c r="Q57" s="241">
        <f>IOTable!Q58*'Price Table'!$E58</f>
        <v>400000000</v>
      </c>
      <c r="R57" s="241">
        <f>IOTable!R58*'Price Table'!$E58</f>
        <v>400000000</v>
      </c>
      <c r="S57" s="241">
        <f>IOTable!S58*'Price Table'!$E58</f>
        <v>400000000</v>
      </c>
      <c r="T57" s="241">
        <f>IOTable!T58*'Price Table'!$E58</f>
        <v>400000000</v>
      </c>
      <c r="U57" s="241">
        <f>IOTable!U58*'Price Table'!$E58</f>
        <v>400000000</v>
      </c>
      <c r="V57" s="241">
        <f>IOTable!V58*'Price Table'!$E58</f>
        <v>400000000</v>
      </c>
      <c r="W57" s="241">
        <f>IOTable!W58*'Price Table'!$E58</f>
        <v>400000000</v>
      </c>
      <c r="X57" s="241">
        <f>IOTable!X58*'Price Table'!$E58</f>
        <v>400000000</v>
      </c>
      <c r="Y57" s="241">
        <f>IOTable!Y58*'Price Table'!$E58</f>
        <v>400000000</v>
      </c>
      <c r="Z57" s="241">
        <f>IOTable!Z58*'Price Table'!$E58</f>
        <v>400000000</v>
      </c>
      <c r="AA57" s="241">
        <f>IOTable!AA58*'Price Table'!$E58</f>
        <v>400000000</v>
      </c>
      <c r="AB57" s="241">
        <f>IOTable!AB58*'Price Table'!$E58</f>
        <v>400000000</v>
      </c>
      <c r="AC57" s="241">
        <f>IOTable!AC58*'Price Table'!$E58</f>
        <v>400000000</v>
      </c>
      <c r="AD57" s="241">
        <f>IOTable!AD58*'Price Table'!$E58</f>
        <v>400000000</v>
      </c>
      <c r="AE57" s="241">
        <f>IOTable!AE58*'Price Table'!$E58</f>
        <v>400000000</v>
      </c>
      <c r="AF57" s="241">
        <f>IOTable!AF58*'Price Table'!$E58</f>
        <v>400000000</v>
      </c>
      <c r="AG57" s="241">
        <f>IOTable!AG58*'Price Table'!$E58</f>
        <v>400000000</v>
      </c>
    </row>
    <row r="58" spans="1:33" s="242" customFormat="1" ht="13.8">
      <c r="A58" s="238"/>
      <c r="B58" s="132" t="s">
        <v>50</v>
      </c>
      <c r="C58" s="240" t="s">
        <v>58</v>
      </c>
      <c r="D58" s="241">
        <f>IOTable!D59*'Price Table'!$E59</f>
        <v>19600000</v>
      </c>
      <c r="E58" s="241">
        <f>IOTable!E59*'Price Table'!$E59</f>
        <v>19600000</v>
      </c>
      <c r="F58" s="241">
        <f>IOTable!F59*'Price Table'!$E59</f>
        <v>19600000</v>
      </c>
      <c r="G58" s="241">
        <f>IOTable!G59*'Price Table'!$E59</f>
        <v>19600000</v>
      </c>
      <c r="H58" s="241">
        <f>IOTable!H59*'Price Table'!$E59</f>
        <v>19600000</v>
      </c>
      <c r="I58" s="241">
        <f>IOTable!I59*'Price Table'!$E59</f>
        <v>19600000</v>
      </c>
      <c r="J58" s="241">
        <f>IOTable!J59*'Price Table'!$E59</f>
        <v>19600000</v>
      </c>
      <c r="K58" s="241">
        <f>IOTable!K59*'Price Table'!$E59</f>
        <v>19600000</v>
      </c>
      <c r="L58" s="241">
        <f>IOTable!L59*'Price Table'!$E59</f>
        <v>19600000</v>
      </c>
      <c r="M58" s="241">
        <f>IOTable!M59*'Price Table'!$E59</f>
        <v>19600000</v>
      </c>
      <c r="N58" s="241">
        <f>IOTable!N59*'Price Table'!$E59</f>
        <v>19600000</v>
      </c>
      <c r="O58" s="241">
        <f>IOTable!O59*'Price Table'!$E59</f>
        <v>19600000</v>
      </c>
      <c r="P58" s="241">
        <f>IOTable!P59*'Price Table'!$E59</f>
        <v>19600000</v>
      </c>
      <c r="Q58" s="241">
        <f>IOTable!Q59*'Price Table'!$E59</f>
        <v>19600000</v>
      </c>
      <c r="R58" s="241">
        <f>IOTable!R59*'Price Table'!$E59</f>
        <v>19600000</v>
      </c>
      <c r="S58" s="241">
        <f>IOTable!S59*'Price Table'!$E59</f>
        <v>19600000</v>
      </c>
      <c r="T58" s="241">
        <f>IOTable!T59*'Price Table'!$E59</f>
        <v>19600000</v>
      </c>
      <c r="U58" s="241">
        <f>IOTable!U59*'Price Table'!$E59</f>
        <v>19600000</v>
      </c>
      <c r="V58" s="241">
        <f>IOTable!V59*'Price Table'!$E59</f>
        <v>19600000</v>
      </c>
      <c r="W58" s="241">
        <f>IOTable!W59*'Price Table'!$E59</f>
        <v>19600000</v>
      </c>
      <c r="X58" s="241">
        <f>IOTable!X59*'Price Table'!$E59</f>
        <v>19600000</v>
      </c>
      <c r="Y58" s="241">
        <f>IOTable!Y59*'Price Table'!$E59</f>
        <v>19600000</v>
      </c>
      <c r="Z58" s="241">
        <f>IOTable!Z59*'Price Table'!$E59</f>
        <v>19600000</v>
      </c>
      <c r="AA58" s="241">
        <f>IOTable!AA59*'Price Table'!$E59</f>
        <v>19600000</v>
      </c>
      <c r="AB58" s="241">
        <f>IOTable!AB59*'Price Table'!$E59</f>
        <v>19600000</v>
      </c>
      <c r="AC58" s="241">
        <f>IOTable!AC59*'Price Table'!$E59</f>
        <v>19600000</v>
      </c>
      <c r="AD58" s="241">
        <f>IOTable!AD59*'Price Table'!$E59</f>
        <v>19600000</v>
      </c>
      <c r="AE58" s="241">
        <f>IOTable!AE59*'Price Table'!$E59</f>
        <v>19600000</v>
      </c>
      <c r="AF58" s="241">
        <f>IOTable!AF59*'Price Table'!$E59</f>
        <v>19600000</v>
      </c>
      <c r="AG58" s="241">
        <f>IOTable!AG59*'Price Table'!$E59</f>
        <v>19600000</v>
      </c>
    </row>
    <row r="59" spans="1:33" s="242" customFormat="1" ht="13.8">
      <c r="A59" s="238"/>
      <c r="B59" s="239" t="s">
        <v>51</v>
      </c>
      <c r="C59" s="240" t="s">
        <v>58</v>
      </c>
      <c r="D59" s="241">
        <f>(SUM(D6:D10)+SUM(D19:D29)+SUM(D32:D34))*'Price Table'!$E60</f>
        <v>688026648.53589487</v>
      </c>
      <c r="E59" s="241">
        <f>(SUM(E6:E10)+SUM(E19:E29)+SUM(E32:E34))*'Price Table'!$E60</f>
        <v>688026648.53589487</v>
      </c>
      <c r="F59" s="241">
        <f>(SUM(F6:F10)+SUM(F19:F29)+SUM(F32:F34))*'Price Table'!$E60</f>
        <v>688026648.53589487</v>
      </c>
      <c r="G59" s="241">
        <f>(SUM(G6:G10)+SUM(G19:G29)+SUM(G32:G34))*'Price Table'!$E60</f>
        <v>688026648.53589487</v>
      </c>
      <c r="H59" s="241">
        <f>(SUM(H6:H10)+SUM(H19:H29)+SUM(H32:H34))*'Price Table'!$E60</f>
        <v>688026648.53589487</v>
      </c>
      <c r="I59" s="241">
        <f>(SUM(I6:I10)+SUM(I19:I29)+SUM(I32:I34))*'Price Table'!$E60</f>
        <v>688026648.53589487</v>
      </c>
      <c r="J59" s="241">
        <f>(SUM(J6:J10)+SUM(J19:J29)+SUM(J32:J34))*'Price Table'!$E60</f>
        <v>688026648.53589487</v>
      </c>
      <c r="K59" s="241">
        <f>(SUM(K6:K10)+SUM(K19:K29)+SUM(K32:K34))*'Price Table'!$E60</f>
        <v>688026648.53589487</v>
      </c>
      <c r="L59" s="241">
        <f>(SUM(L6:L10)+SUM(L19:L29)+SUM(L32:L34))*'Price Table'!$E60</f>
        <v>688026648.53589487</v>
      </c>
      <c r="M59" s="241">
        <f>(SUM(M6:M10)+SUM(M19:M29)+SUM(M32:M34))*'Price Table'!$E60</f>
        <v>688026648.53589487</v>
      </c>
      <c r="N59" s="241">
        <f>(SUM(N6:N10)+SUM(N19:N29)+SUM(N32:N34))*'Price Table'!$E60</f>
        <v>688026648.53589487</v>
      </c>
      <c r="O59" s="241">
        <f>(SUM(O6:O10)+SUM(O19:O29)+SUM(O32:O34))*'Price Table'!$E60</f>
        <v>688026648.53589487</v>
      </c>
      <c r="P59" s="241">
        <f>(SUM(P6:P10)+SUM(P19:P29)+SUM(P32:P34))*'Price Table'!$E60</f>
        <v>688026648.53589487</v>
      </c>
      <c r="Q59" s="241">
        <f>(SUM(Q6:Q10)+SUM(Q19:Q29)+SUM(Q32:Q34))*'Price Table'!$E60</f>
        <v>688026648.53589487</v>
      </c>
      <c r="R59" s="241">
        <f>(SUM(R6:R10)+SUM(R19:R29)+SUM(R32:R34))*'Price Table'!$E60</f>
        <v>688026648.53589487</v>
      </c>
      <c r="S59" s="241">
        <f>(SUM(S6:S10)+SUM(S19:S29)+SUM(S32:S34))*'Price Table'!$E60</f>
        <v>688026648.53589487</v>
      </c>
      <c r="T59" s="241">
        <f>(SUM(T6:T10)+SUM(T19:T29)+SUM(T32:T34))*'Price Table'!$E60</f>
        <v>688026648.53589487</v>
      </c>
      <c r="U59" s="241">
        <f>(SUM(U6:U10)+SUM(U19:U29)+SUM(U32:U34))*'Price Table'!$E60</f>
        <v>688026648.53589487</v>
      </c>
      <c r="V59" s="241">
        <f>(SUM(V6:V10)+SUM(V19:V29)+SUM(V32:V34))*'Price Table'!$E60</f>
        <v>688026648.53589487</v>
      </c>
      <c r="W59" s="241">
        <f>(SUM(W6:W10)+SUM(W19:W29)+SUM(W32:W34))*'Price Table'!$E60</f>
        <v>688026648.53589487</v>
      </c>
      <c r="X59" s="241">
        <f>(SUM(X6:X10)+SUM(X19:X29)+SUM(X32:X34))*'Price Table'!$E60</f>
        <v>688026648.53589487</v>
      </c>
      <c r="Y59" s="241">
        <f>(SUM(Y6:Y10)+SUM(Y19:Y29)+SUM(Y32:Y34))*'Price Table'!$E60</f>
        <v>688026648.53589487</v>
      </c>
      <c r="Z59" s="241">
        <f>(SUM(Z6:Z10)+SUM(Z19:Z29)+SUM(Z32:Z34))*'Price Table'!$E60</f>
        <v>688026648.53589487</v>
      </c>
      <c r="AA59" s="241">
        <f>(SUM(AA6:AA10)+SUM(AA19:AA29)+SUM(AA32:AA34))*'Price Table'!$E60</f>
        <v>688026648.53589487</v>
      </c>
      <c r="AB59" s="241">
        <f>(SUM(AB6:AB10)+SUM(AB19:AB29)+SUM(AB32:AB34))*'Price Table'!$E60</f>
        <v>688026648.53589487</v>
      </c>
      <c r="AC59" s="241">
        <f>(SUM(AC6:AC10)+SUM(AC19:AC29)+SUM(AC32:AC34))*'Price Table'!$E60</f>
        <v>689134856.27589488</v>
      </c>
      <c r="AD59" s="241">
        <f>(SUM(AD6:AD10)+SUM(AD19:AD29)+SUM(AD32:AD34))*'Price Table'!$E60</f>
        <v>690243064.01589489</v>
      </c>
      <c r="AE59" s="241">
        <f>(SUM(AE6:AE10)+SUM(AE19:AE29)+SUM(AE32:AE34))*'Price Table'!$E60</f>
        <v>691351271.7558949</v>
      </c>
      <c r="AF59" s="241">
        <f>(SUM(AF6:AF10)+SUM(AF19:AF29)+SUM(AF32:AF34))*'Price Table'!$E60</f>
        <v>692459479.49589491</v>
      </c>
      <c r="AG59" s="241">
        <f>(SUM(AG6:AG10)+SUM(AG19:AG29)+SUM(AG32:AG34))*'Price Table'!$E60</f>
        <v>693567687.23589492</v>
      </c>
    </row>
    <row r="60" spans="1:33" s="242" customFormat="1" ht="13.8">
      <c r="A60" s="238"/>
      <c r="B60" s="239" t="s">
        <v>52</v>
      </c>
      <c r="C60" s="240" t="s">
        <v>58</v>
      </c>
      <c r="D60" s="241">
        <f>(SUM(D6:D10)+SUM(D19:D29)+SUM(D32:D34))*'Price Table'!E61</f>
        <v>6880266485.3589487</v>
      </c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>
        <f>-D60</f>
        <v>-6880266485.3589487</v>
      </c>
      <c r="AC60" s="241">
        <f t="shared" ref="AC60:AG60" si="0">-E60</f>
        <v>0</v>
      </c>
      <c r="AD60" s="241">
        <f t="shared" si="0"/>
        <v>0</v>
      </c>
      <c r="AE60" s="241">
        <f t="shared" si="0"/>
        <v>0</v>
      </c>
      <c r="AF60" s="241">
        <f t="shared" si="0"/>
        <v>0</v>
      </c>
      <c r="AG60" s="241">
        <f t="shared" si="0"/>
        <v>0</v>
      </c>
    </row>
    <row r="61" spans="1:33" s="242" customFormat="1" ht="13.8">
      <c r="A61" s="238"/>
      <c r="B61" s="239"/>
      <c r="C61" s="240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</row>
    <row r="62" spans="1:33" ht="15.6">
      <c r="A62" s="189" t="s">
        <v>54</v>
      </c>
      <c r="B62" s="244"/>
      <c r="C62" s="237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</row>
    <row r="63" spans="1:33" s="242" customFormat="1" ht="13.8">
      <c r="A63" s="238"/>
      <c r="B63" s="249" t="s">
        <v>55</v>
      </c>
      <c r="C63" s="240" t="s">
        <v>58</v>
      </c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</row>
    <row r="64" spans="1:33" s="242" customFormat="1" ht="13.8">
      <c r="A64" s="238"/>
      <c r="B64" s="249" t="s">
        <v>84</v>
      </c>
      <c r="C64" s="240" t="s">
        <v>58</v>
      </c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</row>
    <row r="65" spans="1:33" s="242" customFormat="1" ht="13.8">
      <c r="A65" s="238"/>
      <c r="B65" s="249" t="s">
        <v>85</v>
      </c>
      <c r="C65" s="240" t="s">
        <v>58</v>
      </c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</row>
    <row r="66" spans="1:33" ht="18">
      <c r="A66" s="210" t="s">
        <v>91</v>
      </c>
      <c r="B66" s="254"/>
      <c r="C66" s="237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</row>
    <row r="67" spans="1:33" s="242" customFormat="1" ht="12" customHeight="1">
      <c r="A67" s="255"/>
      <c r="B67" s="256" t="s">
        <v>88</v>
      </c>
      <c r="C67" s="240" t="s">
        <v>58</v>
      </c>
      <c r="D67" s="241">
        <f>IOTable!D69*'Price Table'!$E69</f>
        <v>41837851503.031982</v>
      </c>
      <c r="E67" s="241">
        <f>IOTable!E69*'Price Table'!$E69</f>
        <v>41837851503.031982</v>
      </c>
      <c r="F67" s="241">
        <f>IOTable!F69*'Price Table'!$E69</f>
        <v>41837851503.031982</v>
      </c>
      <c r="G67" s="241">
        <f>IOTable!G69*'Price Table'!$E69</f>
        <v>41837851503.031982</v>
      </c>
      <c r="H67" s="241">
        <f>IOTable!H69*'Price Table'!$E69</f>
        <v>41837851503.031982</v>
      </c>
      <c r="I67" s="241">
        <f>IOTable!I69*'Price Table'!$E69</f>
        <v>41837851503.031982</v>
      </c>
      <c r="J67" s="241">
        <f>IOTable!J69*'Price Table'!$E69</f>
        <v>41837851503.031982</v>
      </c>
      <c r="K67" s="241">
        <f>IOTable!K69*'Price Table'!$E69</f>
        <v>41837851503.031982</v>
      </c>
      <c r="L67" s="241">
        <f>IOTable!L69*'Price Table'!$E69</f>
        <v>41837851503.031982</v>
      </c>
      <c r="M67" s="241">
        <f>IOTable!M69*'Price Table'!$E69</f>
        <v>41837851503.031982</v>
      </c>
      <c r="N67" s="241">
        <f>IOTable!N69*'Price Table'!$E69</f>
        <v>41837851503.031982</v>
      </c>
      <c r="O67" s="241">
        <f>IOTable!O69*'Price Table'!$E69</f>
        <v>41837851503.031982</v>
      </c>
      <c r="P67" s="241">
        <f>IOTable!P69*'Price Table'!$E69</f>
        <v>41837851503.031982</v>
      </c>
      <c r="Q67" s="241">
        <f>IOTable!Q69*'Price Table'!$E69</f>
        <v>41837851503.031982</v>
      </c>
      <c r="R67" s="241">
        <f>IOTable!R69*'Price Table'!$E69</f>
        <v>41837851503.031982</v>
      </c>
      <c r="S67" s="241">
        <f>IOTable!S69*'Price Table'!$E69</f>
        <v>41837851503.031982</v>
      </c>
      <c r="T67" s="241">
        <f>IOTable!T69*'Price Table'!$E69</f>
        <v>41837851503.031982</v>
      </c>
      <c r="U67" s="241">
        <f>IOTable!U69*'Price Table'!$E69</f>
        <v>41837851503.031982</v>
      </c>
      <c r="V67" s="241">
        <f>IOTable!V69*'Price Table'!$E69</f>
        <v>41837851503.031982</v>
      </c>
      <c r="W67" s="241">
        <f>IOTable!W69*'Price Table'!$E69</f>
        <v>41837851503.031982</v>
      </c>
      <c r="X67" s="241">
        <f>IOTable!X69*'Price Table'!$E69</f>
        <v>41837851503.031982</v>
      </c>
      <c r="Y67" s="241">
        <f>IOTable!Y69*'Price Table'!$E69</f>
        <v>41837851503.031982</v>
      </c>
      <c r="Z67" s="241">
        <f>IOTable!Z69*'Price Table'!$E69</f>
        <v>41837851503.031982</v>
      </c>
      <c r="AA67" s="241">
        <f>IOTable!AA69*'Price Table'!$E69</f>
        <v>41837851503.031982</v>
      </c>
      <c r="AB67" s="241">
        <f>IOTable!AB69*'Price Table'!$E69</f>
        <v>41837851503.031982</v>
      </c>
      <c r="AC67" s="241">
        <f>IOTable!AC69*'Price Table'!$E69</f>
        <v>41837851503.031982</v>
      </c>
      <c r="AD67" s="241">
        <f>IOTable!AD69*'Price Table'!$E69</f>
        <v>41837851503.031982</v>
      </c>
      <c r="AE67" s="241">
        <f>IOTable!AE69*'Price Table'!$E69</f>
        <v>41837851503.031982</v>
      </c>
      <c r="AF67" s="241">
        <f>IOTable!AF69*'Price Table'!$E69</f>
        <v>41837851503.031982</v>
      </c>
      <c r="AG67" s="241">
        <f>IOTable!AG69*'Price Table'!$E69</f>
        <v>41837851503.031982</v>
      </c>
    </row>
    <row r="68" spans="1:33" s="242" customFormat="1" ht="15" customHeight="1">
      <c r="A68" s="255"/>
      <c r="B68" s="256" t="s">
        <v>334</v>
      </c>
      <c r="C68" s="240" t="s">
        <v>58</v>
      </c>
      <c r="D68" s="241">
        <f>IOTable!D70*'Price Table'!$E70</f>
        <v>1171019056.9944336</v>
      </c>
      <c r="E68" s="241">
        <f>IOTable!E70*'Price Table'!$E70</f>
        <v>1171019056.9944336</v>
      </c>
      <c r="F68" s="241">
        <f>IOTable!F70*'Price Table'!$E70</f>
        <v>1171019056.9944336</v>
      </c>
      <c r="G68" s="241">
        <f>IOTable!G70*'Price Table'!$E70</f>
        <v>1171019056.9944336</v>
      </c>
      <c r="H68" s="241">
        <f>IOTable!H70*'Price Table'!$E70</f>
        <v>1171019056.9944336</v>
      </c>
      <c r="I68" s="241">
        <f>IOTable!I70*'Price Table'!$E70</f>
        <v>1171019056.9944336</v>
      </c>
      <c r="J68" s="241">
        <f>IOTable!J70*'Price Table'!$E70</f>
        <v>1171019056.9944336</v>
      </c>
      <c r="K68" s="241">
        <f>IOTable!K70*'Price Table'!$E70</f>
        <v>1171019056.9944336</v>
      </c>
      <c r="L68" s="241">
        <f>IOTable!L70*'Price Table'!$E70</f>
        <v>1171019056.9944336</v>
      </c>
      <c r="M68" s="241">
        <f>IOTable!M70*'Price Table'!$E70</f>
        <v>1171019056.9944336</v>
      </c>
      <c r="N68" s="241">
        <f>IOTable!N70*'Price Table'!$E70</f>
        <v>1171019056.9944336</v>
      </c>
      <c r="O68" s="241">
        <f>IOTable!O70*'Price Table'!$E70</f>
        <v>1171019056.9944336</v>
      </c>
      <c r="P68" s="241">
        <f>IOTable!P70*'Price Table'!$E70</f>
        <v>1171019056.9944336</v>
      </c>
      <c r="Q68" s="241">
        <f>IOTable!Q70*'Price Table'!$E70</f>
        <v>1171019056.9944336</v>
      </c>
      <c r="R68" s="241">
        <f>IOTable!R70*'Price Table'!$E70</f>
        <v>1171019056.9944336</v>
      </c>
      <c r="S68" s="241">
        <f>IOTable!S70*'Price Table'!$E70</f>
        <v>1171019056.9944336</v>
      </c>
      <c r="T68" s="241">
        <f>IOTable!T70*'Price Table'!$E70</f>
        <v>1171019056.9944336</v>
      </c>
      <c r="U68" s="241">
        <f>IOTable!U70*'Price Table'!$E70</f>
        <v>1171019056.9944336</v>
      </c>
      <c r="V68" s="241">
        <f>IOTable!V70*'Price Table'!$E70</f>
        <v>1171019056.9944336</v>
      </c>
      <c r="W68" s="241">
        <f>IOTable!W70*'Price Table'!$E70</f>
        <v>1171019056.9944336</v>
      </c>
      <c r="X68" s="241">
        <f>IOTable!X70*'Price Table'!$E70</f>
        <v>1171019056.9944336</v>
      </c>
      <c r="Y68" s="241">
        <f>IOTable!Y70*'Price Table'!$E70</f>
        <v>1171019056.9944336</v>
      </c>
      <c r="Z68" s="241">
        <f>IOTable!Z70*'Price Table'!$E70</f>
        <v>1171019056.9944336</v>
      </c>
      <c r="AA68" s="241">
        <f>IOTable!AA70*'Price Table'!$E70</f>
        <v>1171019056.9944336</v>
      </c>
      <c r="AB68" s="241">
        <f>IOTable!AB70*'Price Table'!$E70</f>
        <v>1171019056.9944336</v>
      </c>
      <c r="AC68" s="241">
        <f>IOTable!AC70*'Price Table'!$E70</f>
        <v>1171019056.9944336</v>
      </c>
      <c r="AD68" s="241">
        <f>IOTable!AD70*'Price Table'!$E70</f>
        <v>1171019056.9944336</v>
      </c>
      <c r="AE68" s="241">
        <f>IOTable!AE70*'Price Table'!$E70</f>
        <v>1171019056.9944336</v>
      </c>
      <c r="AF68" s="241">
        <f>IOTable!AF70*'Price Table'!$E70</f>
        <v>1171019056.9944336</v>
      </c>
      <c r="AG68" s="241">
        <f>IOTable!AG70*'Price Table'!$E70</f>
        <v>1171019056.9944336</v>
      </c>
    </row>
    <row r="69" spans="1:33" s="242" customFormat="1" ht="12" customHeight="1">
      <c r="A69" s="255"/>
      <c r="B69" s="256" t="s">
        <v>335</v>
      </c>
      <c r="C69" s="240" t="s">
        <v>58</v>
      </c>
      <c r="D69" s="241">
        <f>IOTable!D71*'Price Table'!$E71</f>
        <v>127827676.23402224</v>
      </c>
      <c r="E69" s="241">
        <f>IOTable!E71*'Price Table'!$E71</f>
        <v>127827676.23402224</v>
      </c>
      <c r="F69" s="241">
        <f>IOTable!F71*'Price Table'!$E71</f>
        <v>127827676.23402224</v>
      </c>
      <c r="G69" s="241">
        <f>IOTable!G71*'Price Table'!$E71</f>
        <v>127827676.23402224</v>
      </c>
      <c r="H69" s="241">
        <f>IOTable!H71*'Price Table'!$E71</f>
        <v>127827676.23402224</v>
      </c>
      <c r="I69" s="241">
        <f>IOTable!I71*'Price Table'!$E71</f>
        <v>127827676.23402224</v>
      </c>
      <c r="J69" s="241">
        <f>IOTable!J71*'Price Table'!$E71</f>
        <v>127827676.23402224</v>
      </c>
      <c r="K69" s="241">
        <f>IOTable!K71*'Price Table'!$E71</f>
        <v>127827676.23402224</v>
      </c>
      <c r="L69" s="241">
        <f>IOTable!L71*'Price Table'!$E71</f>
        <v>127827676.23402224</v>
      </c>
      <c r="M69" s="241">
        <f>IOTable!M71*'Price Table'!$E71</f>
        <v>127827676.23402224</v>
      </c>
      <c r="N69" s="241">
        <f>IOTable!N71*'Price Table'!$E71</f>
        <v>127827676.23402224</v>
      </c>
      <c r="O69" s="241">
        <f>IOTable!O71*'Price Table'!$E71</f>
        <v>127827676.23402224</v>
      </c>
      <c r="P69" s="241">
        <f>IOTable!P71*'Price Table'!$E71</f>
        <v>127827676.23402224</v>
      </c>
      <c r="Q69" s="241">
        <f>IOTable!Q71*'Price Table'!$E71</f>
        <v>127827676.23402224</v>
      </c>
      <c r="R69" s="241">
        <f>IOTable!R71*'Price Table'!$E71</f>
        <v>127827676.23402224</v>
      </c>
      <c r="S69" s="241">
        <f>IOTable!S71*'Price Table'!$E71</f>
        <v>127827676.23402224</v>
      </c>
      <c r="T69" s="241">
        <f>IOTable!T71*'Price Table'!$E71</f>
        <v>127827676.23402224</v>
      </c>
      <c r="U69" s="241">
        <f>IOTable!U71*'Price Table'!$E71</f>
        <v>127827676.23402224</v>
      </c>
      <c r="V69" s="241">
        <f>IOTable!V71*'Price Table'!$E71</f>
        <v>127827676.23402224</v>
      </c>
      <c r="W69" s="241">
        <f>IOTable!W71*'Price Table'!$E71</f>
        <v>127827676.23402224</v>
      </c>
      <c r="X69" s="241">
        <f>IOTable!X71*'Price Table'!$E71</f>
        <v>127827676.23402224</v>
      </c>
      <c r="Y69" s="241">
        <f>IOTable!Y71*'Price Table'!$E71</f>
        <v>127827676.23402224</v>
      </c>
      <c r="Z69" s="241">
        <f>IOTable!Z71*'Price Table'!$E71</f>
        <v>127827676.23402224</v>
      </c>
      <c r="AA69" s="241">
        <f>IOTable!AA71*'Price Table'!$E71</f>
        <v>127827676.23402224</v>
      </c>
      <c r="AB69" s="241">
        <f>IOTable!AB71*'Price Table'!$E71</f>
        <v>127827676.23402224</v>
      </c>
      <c r="AC69" s="241">
        <f>IOTable!AC71*'Price Table'!$E71</f>
        <v>127827676.23402224</v>
      </c>
      <c r="AD69" s="241">
        <f>IOTable!AD71*'Price Table'!$E71</f>
        <v>127827676.23402224</v>
      </c>
      <c r="AE69" s="241">
        <f>IOTable!AE71*'Price Table'!$E71</f>
        <v>127827676.23402224</v>
      </c>
      <c r="AF69" s="241">
        <f>IOTable!AF71*'Price Table'!$E71</f>
        <v>127827676.23402224</v>
      </c>
      <c r="AG69" s="241">
        <f>IOTable!AG71*'Price Table'!$E71</f>
        <v>127827676.23402224</v>
      </c>
    </row>
    <row r="70" spans="1:33" s="242" customFormat="1" ht="13.5" customHeight="1">
      <c r="A70" s="279"/>
      <c r="B70" s="271" t="s">
        <v>89</v>
      </c>
      <c r="C70" s="240" t="s">
        <v>58</v>
      </c>
      <c r="D70" s="241">
        <f>SUM(D67:D69)</f>
        <v>43136698236.260437</v>
      </c>
      <c r="E70" s="241">
        <f t="shared" ref="E70:AB70" si="1">SUM(E67:E69)</f>
        <v>43136698236.260437</v>
      </c>
      <c r="F70" s="241">
        <f t="shared" si="1"/>
        <v>43136698236.260437</v>
      </c>
      <c r="G70" s="241">
        <f t="shared" si="1"/>
        <v>43136698236.260437</v>
      </c>
      <c r="H70" s="241">
        <f t="shared" si="1"/>
        <v>43136698236.260437</v>
      </c>
      <c r="I70" s="241">
        <f t="shared" si="1"/>
        <v>43136698236.260437</v>
      </c>
      <c r="J70" s="241">
        <f t="shared" si="1"/>
        <v>43136698236.260437</v>
      </c>
      <c r="K70" s="241">
        <f t="shared" si="1"/>
        <v>43136698236.260437</v>
      </c>
      <c r="L70" s="241">
        <f t="shared" si="1"/>
        <v>43136698236.260437</v>
      </c>
      <c r="M70" s="241">
        <f t="shared" si="1"/>
        <v>43136698236.260437</v>
      </c>
      <c r="N70" s="241">
        <f t="shared" si="1"/>
        <v>43136698236.260437</v>
      </c>
      <c r="O70" s="241">
        <f t="shared" si="1"/>
        <v>43136698236.260437</v>
      </c>
      <c r="P70" s="241">
        <f t="shared" si="1"/>
        <v>43136698236.260437</v>
      </c>
      <c r="Q70" s="241">
        <f t="shared" si="1"/>
        <v>43136698236.260437</v>
      </c>
      <c r="R70" s="241">
        <f t="shared" si="1"/>
        <v>43136698236.260437</v>
      </c>
      <c r="S70" s="241">
        <f t="shared" si="1"/>
        <v>43136698236.260437</v>
      </c>
      <c r="T70" s="241">
        <f t="shared" si="1"/>
        <v>43136698236.260437</v>
      </c>
      <c r="U70" s="241">
        <f t="shared" si="1"/>
        <v>43136698236.260437</v>
      </c>
      <c r="V70" s="241">
        <f t="shared" si="1"/>
        <v>43136698236.260437</v>
      </c>
      <c r="W70" s="241">
        <f t="shared" si="1"/>
        <v>43136698236.260437</v>
      </c>
      <c r="X70" s="241">
        <f t="shared" si="1"/>
        <v>43136698236.260437</v>
      </c>
      <c r="Y70" s="241">
        <f t="shared" si="1"/>
        <v>43136698236.260437</v>
      </c>
      <c r="Z70" s="241">
        <f t="shared" si="1"/>
        <v>43136698236.260437</v>
      </c>
      <c r="AA70" s="241">
        <f t="shared" si="1"/>
        <v>43136698236.260437</v>
      </c>
      <c r="AB70" s="241">
        <f t="shared" si="1"/>
        <v>43136698236.260437</v>
      </c>
      <c r="AC70" s="241">
        <f t="shared" ref="AC70:AG70" si="2">SUM(AC67:AC69)</f>
        <v>43136698236.260437</v>
      </c>
      <c r="AD70" s="241">
        <f t="shared" si="2"/>
        <v>43136698236.260437</v>
      </c>
      <c r="AE70" s="241">
        <f t="shared" si="2"/>
        <v>43136698236.260437</v>
      </c>
      <c r="AF70" s="241">
        <f t="shared" si="2"/>
        <v>43136698236.260437</v>
      </c>
      <c r="AG70" s="241">
        <f t="shared" si="2"/>
        <v>43136698236.260437</v>
      </c>
    </row>
    <row r="71" spans="1:33" s="278" customFormat="1" ht="13.5" customHeight="1">
      <c r="A71" s="275"/>
      <c r="B71" s="276"/>
      <c r="C71" s="277"/>
    </row>
    <row r="72" spans="1:33" ht="17.25" customHeight="1">
      <c r="A72" s="280" t="s">
        <v>92</v>
      </c>
      <c r="B72" s="198"/>
      <c r="C72" s="237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</row>
    <row r="73" spans="1:33" s="242" customFormat="1" ht="13.5" customHeight="1">
      <c r="A73" s="279"/>
      <c r="B73" s="271" t="s">
        <v>61</v>
      </c>
      <c r="C73" s="240" t="s">
        <v>58</v>
      </c>
      <c r="D73" s="241">
        <f>SUM(D6:D10)</f>
        <v>819603212.9412837</v>
      </c>
      <c r="E73" s="241">
        <f t="shared" ref="E73:AB73" si="3">SUM(E6:E10)</f>
        <v>819603212.9412837</v>
      </c>
      <c r="F73" s="241">
        <f t="shared" si="3"/>
        <v>819603212.9412837</v>
      </c>
      <c r="G73" s="241">
        <f t="shared" si="3"/>
        <v>819603212.9412837</v>
      </c>
      <c r="H73" s="241">
        <f t="shared" si="3"/>
        <v>819603212.9412837</v>
      </c>
      <c r="I73" s="241">
        <f t="shared" si="3"/>
        <v>819603212.9412837</v>
      </c>
      <c r="J73" s="241">
        <f t="shared" si="3"/>
        <v>819603212.9412837</v>
      </c>
      <c r="K73" s="241">
        <f t="shared" si="3"/>
        <v>819603212.9412837</v>
      </c>
      <c r="L73" s="241">
        <f t="shared" si="3"/>
        <v>819603212.9412837</v>
      </c>
      <c r="M73" s="241">
        <f t="shared" si="3"/>
        <v>819603212.9412837</v>
      </c>
      <c r="N73" s="241">
        <f t="shared" si="3"/>
        <v>819603212.9412837</v>
      </c>
      <c r="O73" s="241">
        <f t="shared" si="3"/>
        <v>819603212.9412837</v>
      </c>
      <c r="P73" s="241">
        <f t="shared" si="3"/>
        <v>819603212.9412837</v>
      </c>
      <c r="Q73" s="241">
        <f t="shared" si="3"/>
        <v>819603212.9412837</v>
      </c>
      <c r="R73" s="241">
        <f t="shared" si="3"/>
        <v>819603212.9412837</v>
      </c>
      <c r="S73" s="241">
        <f t="shared" si="3"/>
        <v>819603212.9412837</v>
      </c>
      <c r="T73" s="241">
        <f t="shared" si="3"/>
        <v>819603212.9412837</v>
      </c>
      <c r="U73" s="241">
        <f t="shared" si="3"/>
        <v>819603212.9412837</v>
      </c>
      <c r="V73" s="241">
        <f t="shared" si="3"/>
        <v>819603212.9412837</v>
      </c>
      <c r="W73" s="241">
        <f t="shared" si="3"/>
        <v>819603212.9412837</v>
      </c>
      <c r="X73" s="241">
        <f t="shared" si="3"/>
        <v>819603212.9412837</v>
      </c>
      <c r="Y73" s="241">
        <f t="shared" si="3"/>
        <v>819603212.9412837</v>
      </c>
      <c r="Z73" s="241">
        <f t="shared" si="3"/>
        <v>819603212.9412837</v>
      </c>
      <c r="AA73" s="241">
        <f t="shared" si="3"/>
        <v>819603212.9412837</v>
      </c>
      <c r="AB73" s="241">
        <f t="shared" si="3"/>
        <v>819603212.9412837</v>
      </c>
      <c r="AC73" s="241">
        <f t="shared" ref="AC73:AG73" si="4">SUM(AC6:AC10)</f>
        <v>856543470.9412837</v>
      </c>
      <c r="AD73" s="241">
        <f t="shared" si="4"/>
        <v>893483728.9412837</v>
      </c>
      <c r="AE73" s="241">
        <f t="shared" si="4"/>
        <v>930423986.9412837</v>
      </c>
      <c r="AF73" s="241">
        <f t="shared" si="4"/>
        <v>967364244.9412837</v>
      </c>
      <c r="AG73" s="241">
        <f t="shared" si="4"/>
        <v>1004304502.9412837</v>
      </c>
    </row>
    <row r="74" spans="1:33" s="242" customFormat="1" ht="13.5" customHeight="1">
      <c r="A74" s="255"/>
      <c r="B74" s="256" t="s">
        <v>72</v>
      </c>
      <c r="C74" s="240" t="s">
        <v>58</v>
      </c>
      <c r="D74" s="241">
        <f>SUM(D13:D14)</f>
        <v>30809779850</v>
      </c>
      <c r="E74" s="241">
        <f t="shared" ref="E74:AB74" si="5">SUM(E13:E14)</f>
        <v>0</v>
      </c>
      <c r="F74" s="241">
        <f t="shared" si="5"/>
        <v>0</v>
      </c>
      <c r="G74" s="241">
        <f t="shared" si="5"/>
        <v>0</v>
      </c>
      <c r="H74" s="241">
        <f t="shared" si="5"/>
        <v>0</v>
      </c>
      <c r="I74" s="241">
        <f t="shared" si="5"/>
        <v>349501200</v>
      </c>
      <c r="J74" s="241">
        <f t="shared" si="5"/>
        <v>0</v>
      </c>
      <c r="K74" s="241">
        <f t="shared" si="5"/>
        <v>0</v>
      </c>
      <c r="L74" s="241">
        <f t="shared" si="5"/>
        <v>0</v>
      </c>
      <c r="M74" s="241">
        <f t="shared" si="5"/>
        <v>0</v>
      </c>
      <c r="N74" s="241">
        <f t="shared" si="5"/>
        <v>30809779850</v>
      </c>
      <c r="O74" s="241">
        <f t="shared" si="5"/>
        <v>0</v>
      </c>
      <c r="P74" s="241">
        <f t="shared" si="5"/>
        <v>0</v>
      </c>
      <c r="Q74" s="241">
        <f t="shared" si="5"/>
        <v>0</v>
      </c>
      <c r="R74" s="241">
        <f t="shared" si="5"/>
        <v>0</v>
      </c>
      <c r="S74" s="241">
        <f t="shared" si="5"/>
        <v>349501200</v>
      </c>
      <c r="T74" s="241">
        <f t="shared" si="5"/>
        <v>0</v>
      </c>
      <c r="U74" s="241">
        <f t="shared" si="5"/>
        <v>0</v>
      </c>
      <c r="V74" s="241">
        <f t="shared" si="5"/>
        <v>0</v>
      </c>
      <c r="W74" s="241">
        <f t="shared" si="5"/>
        <v>0</v>
      </c>
      <c r="X74" s="241">
        <f t="shared" si="5"/>
        <v>0</v>
      </c>
      <c r="Y74" s="241">
        <f t="shared" si="5"/>
        <v>30809779850</v>
      </c>
      <c r="Z74" s="241">
        <f t="shared" si="5"/>
        <v>0</v>
      </c>
      <c r="AA74" s="241">
        <f t="shared" si="5"/>
        <v>0</v>
      </c>
      <c r="AB74" s="241">
        <f t="shared" si="5"/>
        <v>0</v>
      </c>
      <c r="AC74" s="241">
        <f t="shared" ref="AC74:AG74" si="6">SUM(AC13:AC14)</f>
        <v>0</v>
      </c>
      <c r="AD74" s="241">
        <f t="shared" si="6"/>
        <v>0</v>
      </c>
      <c r="AE74" s="241">
        <f t="shared" si="6"/>
        <v>0</v>
      </c>
      <c r="AF74" s="241">
        <f t="shared" si="6"/>
        <v>0</v>
      </c>
      <c r="AG74" s="241">
        <f t="shared" si="6"/>
        <v>0</v>
      </c>
    </row>
    <row r="75" spans="1:33" s="242" customFormat="1" ht="13.5" customHeight="1">
      <c r="A75" s="255"/>
      <c r="B75" s="256" t="s">
        <v>93</v>
      </c>
      <c r="C75" s="240" t="s">
        <v>58</v>
      </c>
      <c r="D75" s="241">
        <f>SUM(D76:D78)</f>
        <v>22114618404.921883</v>
      </c>
      <c r="E75" s="241">
        <f t="shared" ref="E75:AB75" si="7">SUM(E76:E78)</f>
        <v>22114618404.921883</v>
      </c>
      <c r="F75" s="241">
        <f t="shared" si="7"/>
        <v>22114618404.921883</v>
      </c>
      <c r="G75" s="241">
        <f t="shared" si="7"/>
        <v>22114618404.921883</v>
      </c>
      <c r="H75" s="241">
        <f t="shared" si="7"/>
        <v>22114618404.921883</v>
      </c>
      <c r="I75" s="241">
        <f t="shared" si="7"/>
        <v>22114618404.921883</v>
      </c>
      <c r="J75" s="241">
        <f t="shared" si="7"/>
        <v>22114618404.921883</v>
      </c>
      <c r="K75" s="241">
        <f t="shared" si="7"/>
        <v>22114618404.921883</v>
      </c>
      <c r="L75" s="241">
        <f t="shared" si="7"/>
        <v>22114618404.921883</v>
      </c>
      <c r="M75" s="241">
        <f t="shared" si="7"/>
        <v>22114618404.921883</v>
      </c>
      <c r="N75" s="241">
        <f t="shared" si="7"/>
        <v>22114618404.921883</v>
      </c>
      <c r="O75" s="241">
        <f t="shared" si="7"/>
        <v>22114618404.921883</v>
      </c>
      <c r="P75" s="241">
        <f t="shared" si="7"/>
        <v>22114618404.921883</v>
      </c>
      <c r="Q75" s="241">
        <f t="shared" si="7"/>
        <v>22114618404.921883</v>
      </c>
      <c r="R75" s="241">
        <f t="shared" si="7"/>
        <v>22114618404.921883</v>
      </c>
      <c r="S75" s="241">
        <f t="shared" si="7"/>
        <v>22114618404.921883</v>
      </c>
      <c r="T75" s="241">
        <f t="shared" si="7"/>
        <v>22114618404.921883</v>
      </c>
      <c r="U75" s="241">
        <f t="shared" si="7"/>
        <v>22114618404.921883</v>
      </c>
      <c r="V75" s="241">
        <f t="shared" si="7"/>
        <v>22114618404.921883</v>
      </c>
      <c r="W75" s="241">
        <f t="shared" si="7"/>
        <v>22114618404.921883</v>
      </c>
      <c r="X75" s="241">
        <f t="shared" si="7"/>
        <v>22114618404.921883</v>
      </c>
      <c r="Y75" s="241">
        <f t="shared" si="7"/>
        <v>22114618404.921883</v>
      </c>
      <c r="Z75" s="241">
        <f t="shared" si="7"/>
        <v>22114618404.921883</v>
      </c>
      <c r="AA75" s="241">
        <f t="shared" si="7"/>
        <v>22114618404.921883</v>
      </c>
      <c r="AB75" s="241">
        <f t="shared" si="7"/>
        <v>22114618404.921883</v>
      </c>
      <c r="AC75" s="241">
        <f t="shared" ref="AC75:AG75" si="8">SUM(AC76:AC78)</f>
        <v>22114618404.921883</v>
      </c>
      <c r="AD75" s="241">
        <f t="shared" si="8"/>
        <v>22114618404.921883</v>
      </c>
      <c r="AE75" s="241">
        <f t="shared" si="8"/>
        <v>22114618404.921883</v>
      </c>
      <c r="AF75" s="241">
        <f t="shared" si="8"/>
        <v>22114618404.921883</v>
      </c>
      <c r="AG75" s="241">
        <f t="shared" si="8"/>
        <v>22114618404.921883</v>
      </c>
    </row>
    <row r="76" spans="1:33" s="242" customFormat="1" ht="13.5" customHeight="1">
      <c r="A76" s="255"/>
      <c r="B76" s="257" t="s">
        <v>94</v>
      </c>
      <c r="C76" s="240" t="s">
        <v>58</v>
      </c>
      <c r="D76" s="241">
        <f>D19</f>
        <v>11880000000</v>
      </c>
      <c r="E76" s="241">
        <f t="shared" ref="E76:AB76" si="9">E19</f>
        <v>11880000000</v>
      </c>
      <c r="F76" s="241">
        <f t="shared" si="9"/>
        <v>11880000000</v>
      </c>
      <c r="G76" s="241">
        <f t="shared" si="9"/>
        <v>11880000000</v>
      </c>
      <c r="H76" s="241">
        <f t="shared" si="9"/>
        <v>11880000000</v>
      </c>
      <c r="I76" s="241">
        <f t="shared" si="9"/>
        <v>11880000000</v>
      </c>
      <c r="J76" s="241">
        <f t="shared" si="9"/>
        <v>11880000000</v>
      </c>
      <c r="K76" s="241">
        <f t="shared" si="9"/>
        <v>11880000000</v>
      </c>
      <c r="L76" s="241">
        <f t="shared" si="9"/>
        <v>11880000000</v>
      </c>
      <c r="M76" s="241">
        <f t="shared" si="9"/>
        <v>11880000000</v>
      </c>
      <c r="N76" s="241">
        <f t="shared" si="9"/>
        <v>11880000000</v>
      </c>
      <c r="O76" s="241">
        <f t="shared" si="9"/>
        <v>11880000000</v>
      </c>
      <c r="P76" s="241">
        <f t="shared" si="9"/>
        <v>11880000000</v>
      </c>
      <c r="Q76" s="241">
        <f t="shared" si="9"/>
        <v>11880000000</v>
      </c>
      <c r="R76" s="241">
        <f t="shared" si="9"/>
        <v>11880000000</v>
      </c>
      <c r="S76" s="241">
        <f t="shared" si="9"/>
        <v>11880000000</v>
      </c>
      <c r="T76" s="241">
        <f t="shared" si="9"/>
        <v>11880000000</v>
      </c>
      <c r="U76" s="241">
        <f t="shared" si="9"/>
        <v>11880000000</v>
      </c>
      <c r="V76" s="241">
        <f t="shared" si="9"/>
        <v>11880000000</v>
      </c>
      <c r="W76" s="241">
        <f t="shared" si="9"/>
        <v>11880000000</v>
      </c>
      <c r="X76" s="241">
        <f t="shared" si="9"/>
        <v>11880000000</v>
      </c>
      <c r="Y76" s="241">
        <f t="shared" si="9"/>
        <v>11880000000</v>
      </c>
      <c r="Z76" s="241">
        <f t="shared" si="9"/>
        <v>11880000000</v>
      </c>
      <c r="AA76" s="241">
        <f t="shared" si="9"/>
        <v>11880000000</v>
      </c>
      <c r="AB76" s="241">
        <f t="shared" si="9"/>
        <v>11880000000</v>
      </c>
      <c r="AC76" s="241">
        <f t="shared" ref="AC76:AG76" si="10">AC19</f>
        <v>11880000000</v>
      </c>
      <c r="AD76" s="241">
        <f t="shared" si="10"/>
        <v>11880000000</v>
      </c>
      <c r="AE76" s="241">
        <f t="shared" si="10"/>
        <v>11880000000</v>
      </c>
      <c r="AF76" s="241">
        <f t="shared" si="10"/>
        <v>11880000000</v>
      </c>
      <c r="AG76" s="241">
        <f t="shared" si="10"/>
        <v>11880000000</v>
      </c>
    </row>
    <row r="77" spans="1:33" s="242" customFormat="1" ht="13.5" customHeight="1">
      <c r="A77" s="255"/>
      <c r="B77" s="257" t="s">
        <v>95</v>
      </c>
      <c r="C77" s="240" t="s">
        <v>58</v>
      </c>
      <c r="D77" s="241">
        <f t="shared" ref="D77:AB77" si="11">SUM(D21:D29)</f>
        <v>9577618404.9218826</v>
      </c>
      <c r="E77" s="241">
        <f t="shared" si="11"/>
        <v>9577618404.9218826</v>
      </c>
      <c r="F77" s="241">
        <f t="shared" si="11"/>
        <v>9577618404.9218826</v>
      </c>
      <c r="G77" s="241">
        <f t="shared" si="11"/>
        <v>9577618404.9218826</v>
      </c>
      <c r="H77" s="241">
        <f t="shared" si="11"/>
        <v>9577618404.9218826</v>
      </c>
      <c r="I77" s="241">
        <f t="shared" si="11"/>
        <v>9577618404.9218826</v>
      </c>
      <c r="J77" s="241">
        <f t="shared" si="11"/>
        <v>9577618404.9218826</v>
      </c>
      <c r="K77" s="241">
        <f t="shared" si="11"/>
        <v>9577618404.9218826</v>
      </c>
      <c r="L77" s="241">
        <f t="shared" si="11"/>
        <v>9577618404.9218826</v>
      </c>
      <c r="M77" s="241">
        <f t="shared" si="11"/>
        <v>9577618404.9218826</v>
      </c>
      <c r="N77" s="241">
        <f t="shared" si="11"/>
        <v>9577618404.9218826</v>
      </c>
      <c r="O77" s="241">
        <f t="shared" si="11"/>
        <v>9577618404.9218826</v>
      </c>
      <c r="P77" s="241">
        <f t="shared" si="11"/>
        <v>9577618404.9218826</v>
      </c>
      <c r="Q77" s="241">
        <f t="shared" si="11"/>
        <v>9577618404.9218826</v>
      </c>
      <c r="R77" s="241">
        <f t="shared" si="11"/>
        <v>9577618404.9218826</v>
      </c>
      <c r="S77" s="241">
        <f t="shared" si="11"/>
        <v>9577618404.9218826</v>
      </c>
      <c r="T77" s="241">
        <f t="shared" si="11"/>
        <v>9577618404.9218826</v>
      </c>
      <c r="U77" s="241">
        <f t="shared" si="11"/>
        <v>9577618404.9218826</v>
      </c>
      <c r="V77" s="241">
        <f t="shared" si="11"/>
        <v>9577618404.9218826</v>
      </c>
      <c r="W77" s="241">
        <f t="shared" si="11"/>
        <v>9577618404.9218826</v>
      </c>
      <c r="X77" s="241">
        <f t="shared" si="11"/>
        <v>9577618404.9218826</v>
      </c>
      <c r="Y77" s="241">
        <f t="shared" si="11"/>
        <v>9577618404.9218826</v>
      </c>
      <c r="Z77" s="241">
        <f t="shared" si="11"/>
        <v>9577618404.9218826</v>
      </c>
      <c r="AA77" s="241">
        <f t="shared" si="11"/>
        <v>9577618404.9218826</v>
      </c>
      <c r="AB77" s="241">
        <f t="shared" si="11"/>
        <v>9577618404.9218826</v>
      </c>
      <c r="AC77" s="241">
        <f t="shared" ref="AC77:AG77" si="12">SUM(AC21:AC29)</f>
        <v>9577618404.9218826</v>
      </c>
      <c r="AD77" s="241">
        <f t="shared" si="12"/>
        <v>9577618404.9218826</v>
      </c>
      <c r="AE77" s="241">
        <f t="shared" si="12"/>
        <v>9577618404.9218826</v>
      </c>
      <c r="AF77" s="241">
        <f t="shared" si="12"/>
        <v>9577618404.9218826</v>
      </c>
      <c r="AG77" s="241">
        <f t="shared" si="12"/>
        <v>9577618404.9218826</v>
      </c>
    </row>
    <row r="78" spans="1:33" s="242" customFormat="1" ht="13.5" customHeight="1">
      <c r="A78" s="255"/>
      <c r="B78" s="257" t="s">
        <v>63</v>
      </c>
      <c r="C78" s="240" t="s">
        <v>58</v>
      </c>
      <c r="D78" s="241">
        <f>SUM(D32:D34)</f>
        <v>657000000</v>
      </c>
      <c r="E78" s="241">
        <f t="shared" ref="E78:AB78" si="13">SUM(E32:E34)</f>
        <v>657000000</v>
      </c>
      <c r="F78" s="241">
        <f t="shared" si="13"/>
        <v>657000000</v>
      </c>
      <c r="G78" s="241">
        <f t="shared" si="13"/>
        <v>657000000</v>
      </c>
      <c r="H78" s="241">
        <f t="shared" si="13"/>
        <v>657000000</v>
      </c>
      <c r="I78" s="241">
        <f t="shared" si="13"/>
        <v>657000000</v>
      </c>
      <c r="J78" s="241">
        <f t="shared" si="13"/>
        <v>657000000</v>
      </c>
      <c r="K78" s="241">
        <f t="shared" si="13"/>
        <v>657000000</v>
      </c>
      <c r="L78" s="241">
        <f t="shared" si="13"/>
        <v>657000000</v>
      </c>
      <c r="M78" s="241">
        <f t="shared" si="13"/>
        <v>657000000</v>
      </c>
      <c r="N78" s="241">
        <f t="shared" si="13"/>
        <v>657000000</v>
      </c>
      <c r="O78" s="241">
        <f t="shared" si="13"/>
        <v>657000000</v>
      </c>
      <c r="P78" s="241">
        <f t="shared" si="13"/>
        <v>657000000</v>
      </c>
      <c r="Q78" s="241">
        <f t="shared" si="13"/>
        <v>657000000</v>
      </c>
      <c r="R78" s="241">
        <f t="shared" si="13"/>
        <v>657000000</v>
      </c>
      <c r="S78" s="241">
        <f t="shared" si="13"/>
        <v>657000000</v>
      </c>
      <c r="T78" s="241">
        <f t="shared" si="13"/>
        <v>657000000</v>
      </c>
      <c r="U78" s="241">
        <f t="shared" si="13"/>
        <v>657000000</v>
      </c>
      <c r="V78" s="241">
        <f t="shared" si="13"/>
        <v>657000000</v>
      </c>
      <c r="W78" s="241">
        <f t="shared" si="13"/>
        <v>657000000</v>
      </c>
      <c r="X78" s="241">
        <f t="shared" si="13"/>
        <v>657000000</v>
      </c>
      <c r="Y78" s="241">
        <f t="shared" si="13"/>
        <v>657000000</v>
      </c>
      <c r="Z78" s="241">
        <f t="shared" si="13"/>
        <v>657000000</v>
      </c>
      <c r="AA78" s="241">
        <f t="shared" si="13"/>
        <v>657000000</v>
      </c>
      <c r="AB78" s="241">
        <f t="shared" si="13"/>
        <v>657000000</v>
      </c>
      <c r="AC78" s="241">
        <f t="shared" ref="AC78:AG78" si="14">SUM(AC32:AC34)</f>
        <v>657000000</v>
      </c>
      <c r="AD78" s="241">
        <f t="shared" si="14"/>
        <v>657000000</v>
      </c>
      <c r="AE78" s="241">
        <f t="shared" si="14"/>
        <v>657000000</v>
      </c>
      <c r="AF78" s="241">
        <f t="shared" si="14"/>
        <v>657000000</v>
      </c>
      <c r="AG78" s="241">
        <f t="shared" si="14"/>
        <v>657000000</v>
      </c>
    </row>
    <row r="79" spans="1:33" s="242" customFormat="1" ht="13.5" customHeight="1">
      <c r="A79" s="255"/>
      <c r="B79" s="256" t="s">
        <v>73</v>
      </c>
      <c r="C79" s="240" t="s">
        <v>58</v>
      </c>
      <c r="D79" s="241">
        <f t="shared" ref="D79:AB79" si="15">SUM(D37:D60)+D74</f>
        <v>51777627636.431572</v>
      </c>
      <c r="E79" s="241">
        <f t="shared" si="15"/>
        <v>14008081301.072624</v>
      </c>
      <c r="F79" s="241">
        <f t="shared" si="15"/>
        <v>14008081301.072624</v>
      </c>
      <c r="G79" s="241">
        <f t="shared" si="15"/>
        <v>14008081301.072624</v>
      </c>
      <c r="H79" s="241">
        <f t="shared" si="15"/>
        <v>14008081301.072624</v>
      </c>
      <c r="I79" s="241">
        <f t="shared" si="15"/>
        <v>14368082501.072624</v>
      </c>
      <c r="J79" s="241">
        <f t="shared" si="15"/>
        <v>14008081301.072624</v>
      </c>
      <c r="K79" s="241">
        <f t="shared" si="15"/>
        <v>14008081301.072624</v>
      </c>
      <c r="L79" s="241">
        <f t="shared" si="15"/>
        <v>14008081301.072624</v>
      </c>
      <c r="M79" s="241">
        <f t="shared" si="15"/>
        <v>14008081301.072624</v>
      </c>
      <c r="N79" s="241">
        <f t="shared" si="15"/>
        <v>44828361151.072624</v>
      </c>
      <c r="O79" s="241">
        <f t="shared" si="15"/>
        <v>14008081301.072624</v>
      </c>
      <c r="P79" s="241">
        <f t="shared" si="15"/>
        <v>14008081301.072624</v>
      </c>
      <c r="Q79" s="241">
        <f t="shared" si="15"/>
        <v>14008081301.072624</v>
      </c>
      <c r="R79" s="241">
        <f t="shared" si="15"/>
        <v>14008081301.072624</v>
      </c>
      <c r="S79" s="241">
        <f t="shared" si="15"/>
        <v>14368082501.072624</v>
      </c>
      <c r="T79" s="241">
        <f t="shared" si="15"/>
        <v>14008081301.072624</v>
      </c>
      <c r="U79" s="241">
        <f t="shared" si="15"/>
        <v>14008081301.072624</v>
      </c>
      <c r="V79" s="241">
        <f t="shared" si="15"/>
        <v>14008081301.072624</v>
      </c>
      <c r="W79" s="241">
        <f t="shared" si="15"/>
        <v>14008081301.072624</v>
      </c>
      <c r="X79" s="241">
        <f t="shared" si="15"/>
        <v>14179581301.072624</v>
      </c>
      <c r="Y79" s="241">
        <f t="shared" si="15"/>
        <v>44817861151.072624</v>
      </c>
      <c r="Z79" s="241">
        <f t="shared" si="15"/>
        <v>14008081301.072624</v>
      </c>
      <c r="AA79" s="241">
        <f t="shared" si="15"/>
        <v>14008081301.072624</v>
      </c>
      <c r="AB79" s="241">
        <f t="shared" si="15"/>
        <v>7127814815.7136755</v>
      </c>
      <c r="AC79" s="241">
        <f t="shared" ref="AC79:AG79" si="16">SUM(AC37:AC60)+AC74</f>
        <v>14009191108.812624</v>
      </c>
      <c r="AD79" s="241">
        <f t="shared" si="16"/>
        <v>14010300916.552624</v>
      </c>
      <c r="AE79" s="241">
        <f t="shared" si="16"/>
        <v>14011410724.292625</v>
      </c>
      <c r="AF79" s="241">
        <f t="shared" si="16"/>
        <v>14012520532.032625</v>
      </c>
      <c r="AG79" s="241">
        <f t="shared" si="16"/>
        <v>14013630339.772625</v>
      </c>
    </row>
    <row r="80" spans="1:33" s="242" customFormat="1" ht="13.5" customHeight="1">
      <c r="A80" s="255"/>
      <c r="B80" s="256"/>
      <c r="C80" s="240" t="s">
        <v>58</v>
      </c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1"/>
    </row>
    <row r="81" spans="1:33" s="242" customFormat="1" ht="13.5" customHeight="1">
      <c r="A81" s="255"/>
      <c r="B81" s="256"/>
      <c r="C81" s="240" t="s">
        <v>58</v>
      </c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</row>
    <row r="82" spans="1:33" ht="18" customHeight="1">
      <c r="A82" s="210" t="s">
        <v>96</v>
      </c>
      <c r="B82" s="254"/>
      <c r="C82" s="237" t="s">
        <v>58</v>
      </c>
      <c r="D82" s="100">
        <f>D70-D73-D75-D79</f>
        <v>-31575151018.034302</v>
      </c>
      <c r="E82" s="100">
        <f t="shared" ref="E82:AB82" si="17">E70-E73-E75-E79</f>
        <v>6194395317.324646</v>
      </c>
      <c r="F82" s="100">
        <f t="shared" si="17"/>
        <v>6194395317.324646</v>
      </c>
      <c r="G82" s="100">
        <f t="shared" si="17"/>
        <v>6194395317.324646</v>
      </c>
      <c r="H82" s="100">
        <f t="shared" si="17"/>
        <v>6194395317.324646</v>
      </c>
      <c r="I82" s="100">
        <f t="shared" si="17"/>
        <v>5834394117.324646</v>
      </c>
      <c r="J82" s="100">
        <f t="shared" si="17"/>
        <v>6194395317.324646</v>
      </c>
      <c r="K82" s="100">
        <f t="shared" si="17"/>
        <v>6194395317.324646</v>
      </c>
      <c r="L82" s="100">
        <f t="shared" si="17"/>
        <v>6194395317.324646</v>
      </c>
      <c r="M82" s="100">
        <f t="shared" si="17"/>
        <v>6194395317.324646</v>
      </c>
      <c r="N82" s="100">
        <f t="shared" si="17"/>
        <v>-24625884532.675354</v>
      </c>
      <c r="O82" s="100">
        <f t="shared" si="17"/>
        <v>6194395317.324646</v>
      </c>
      <c r="P82" s="100">
        <f t="shared" si="17"/>
        <v>6194395317.324646</v>
      </c>
      <c r="Q82" s="100">
        <f t="shared" si="17"/>
        <v>6194395317.324646</v>
      </c>
      <c r="R82" s="100">
        <f t="shared" si="17"/>
        <v>6194395317.324646</v>
      </c>
      <c r="S82" s="100">
        <f t="shared" si="17"/>
        <v>5834394117.324646</v>
      </c>
      <c r="T82" s="100">
        <f t="shared" si="17"/>
        <v>6194395317.324646</v>
      </c>
      <c r="U82" s="100">
        <f t="shared" si="17"/>
        <v>6194395317.324646</v>
      </c>
      <c r="V82" s="100">
        <f t="shared" si="17"/>
        <v>6194395317.324646</v>
      </c>
      <c r="W82" s="100">
        <f t="shared" si="17"/>
        <v>6194395317.324646</v>
      </c>
      <c r="X82" s="100">
        <f t="shared" si="17"/>
        <v>6022895317.324646</v>
      </c>
      <c r="Y82" s="100">
        <f t="shared" si="17"/>
        <v>-24615384532.675354</v>
      </c>
      <c r="Z82" s="100">
        <f t="shared" si="17"/>
        <v>6194395317.324646</v>
      </c>
      <c r="AA82" s="100">
        <f t="shared" si="17"/>
        <v>6194395317.324646</v>
      </c>
      <c r="AB82" s="100">
        <f t="shared" si="17"/>
        <v>13074661802.683594</v>
      </c>
      <c r="AC82" s="100">
        <f t="shared" ref="AC82:AG82" si="18">AC70-AC73-AC75-AC79</f>
        <v>6156345251.5846462</v>
      </c>
      <c r="AD82" s="100">
        <f t="shared" si="18"/>
        <v>6118295185.8446465</v>
      </c>
      <c r="AE82" s="100">
        <f t="shared" si="18"/>
        <v>6080245120.1046448</v>
      </c>
      <c r="AF82" s="100">
        <f t="shared" si="18"/>
        <v>6042195054.364645</v>
      </c>
      <c r="AG82" s="100">
        <f t="shared" si="18"/>
        <v>6004144988.6246452</v>
      </c>
    </row>
    <row r="83" spans="1:33">
      <c r="A83" s="193"/>
      <c r="B83" s="244"/>
      <c r="C83" s="237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</row>
    <row r="84" spans="1:33" ht="10.8" thickBot="1">
      <c r="A84" s="258"/>
      <c r="B84" s="259"/>
      <c r="C84" s="260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R84" s="261"/>
      <c r="S84" s="261"/>
      <c r="T84" s="261"/>
      <c r="U84" s="261"/>
      <c r="V84" s="261"/>
      <c r="W84" s="261"/>
      <c r="X84" s="261"/>
      <c r="Y84" s="261"/>
      <c r="Z84" s="261"/>
      <c r="AA84" s="261"/>
      <c r="AB84" s="261"/>
      <c r="AC84" s="261"/>
      <c r="AD84" s="261"/>
      <c r="AE84" s="261"/>
      <c r="AF84" s="261"/>
      <c r="AG84" s="261"/>
    </row>
    <row r="85" spans="1:33">
      <c r="A85" s="179"/>
      <c r="B85" s="99" t="s">
        <v>496</v>
      </c>
      <c r="C85" s="228"/>
      <c r="D85" s="98">
        <f>D73+D74+D79</f>
        <v>83407010699.372864</v>
      </c>
      <c r="E85" s="98">
        <f t="shared" ref="E85:AG85" si="19">E73+E74+E79</f>
        <v>14827684514.013908</v>
      </c>
      <c r="F85" s="98">
        <f t="shared" si="19"/>
        <v>14827684514.013908</v>
      </c>
      <c r="G85" s="98">
        <f t="shared" si="19"/>
        <v>14827684514.013908</v>
      </c>
      <c r="H85" s="98">
        <f t="shared" si="19"/>
        <v>14827684514.013908</v>
      </c>
      <c r="I85" s="98">
        <f t="shared" si="19"/>
        <v>15537186914.013908</v>
      </c>
      <c r="J85" s="98">
        <f t="shared" si="19"/>
        <v>14827684514.013908</v>
      </c>
      <c r="K85" s="98">
        <f t="shared" si="19"/>
        <v>14827684514.013908</v>
      </c>
      <c r="L85" s="98">
        <f t="shared" si="19"/>
        <v>14827684514.013908</v>
      </c>
      <c r="M85" s="98">
        <f t="shared" si="19"/>
        <v>14827684514.013908</v>
      </c>
      <c r="N85" s="98">
        <f t="shared" si="19"/>
        <v>76457744214.013916</v>
      </c>
      <c r="O85" s="98">
        <f t="shared" si="19"/>
        <v>14827684514.013908</v>
      </c>
      <c r="P85" s="98">
        <f t="shared" si="19"/>
        <v>14827684514.013908</v>
      </c>
      <c r="Q85" s="98">
        <f t="shared" si="19"/>
        <v>14827684514.013908</v>
      </c>
      <c r="R85" s="98">
        <f t="shared" si="19"/>
        <v>14827684514.013908</v>
      </c>
      <c r="S85" s="98">
        <f t="shared" si="19"/>
        <v>15537186914.013908</v>
      </c>
      <c r="T85" s="98">
        <f t="shared" si="19"/>
        <v>14827684514.013908</v>
      </c>
      <c r="U85" s="98">
        <f t="shared" si="19"/>
        <v>14827684514.013908</v>
      </c>
      <c r="V85" s="98">
        <f t="shared" si="19"/>
        <v>14827684514.013908</v>
      </c>
      <c r="W85" s="98">
        <f t="shared" si="19"/>
        <v>14827684514.013908</v>
      </c>
      <c r="X85" s="98">
        <f t="shared" si="19"/>
        <v>14999184514.013908</v>
      </c>
      <c r="Y85" s="98">
        <f t="shared" si="19"/>
        <v>76447244214.013916</v>
      </c>
      <c r="Z85" s="98">
        <f t="shared" si="19"/>
        <v>14827684514.013908</v>
      </c>
      <c r="AA85" s="98">
        <f t="shared" si="19"/>
        <v>14827684514.013908</v>
      </c>
      <c r="AB85" s="98">
        <f t="shared" si="19"/>
        <v>7947418028.6549587</v>
      </c>
      <c r="AC85" s="98">
        <f t="shared" si="19"/>
        <v>14865734579.753908</v>
      </c>
      <c r="AD85" s="98">
        <f t="shared" si="19"/>
        <v>14903784645.493908</v>
      </c>
      <c r="AE85" s="98">
        <f t="shared" si="19"/>
        <v>14941834711.23391</v>
      </c>
      <c r="AF85" s="98">
        <f t="shared" si="19"/>
        <v>14979884776.973909</v>
      </c>
      <c r="AG85" s="98">
        <f t="shared" si="19"/>
        <v>15017934842.713909</v>
      </c>
    </row>
    <row r="86" spans="1:33">
      <c r="A86" s="179"/>
      <c r="B86" s="99" t="s">
        <v>497</v>
      </c>
      <c r="C86" s="262"/>
      <c r="D86" s="98">
        <f>SUM(D85:AG85)</f>
        <v>631940470306.51733</v>
      </c>
    </row>
    <row r="87" spans="1:33">
      <c r="A87" s="179"/>
      <c r="B87" s="99"/>
      <c r="C87" s="262"/>
    </row>
    <row r="88" spans="1:33">
      <c r="A88" s="179"/>
      <c r="B88" s="99"/>
      <c r="C88" s="262"/>
    </row>
    <row r="89" spans="1:33">
      <c r="A89" s="179"/>
      <c r="B89" s="99"/>
      <c r="C89" s="262"/>
    </row>
    <row r="90" spans="1:33">
      <c r="A90" s="179"/>
      <c r="B90" s="179"/>
      <c r="C90" s="262"/>
    </row>
    <row r="91" spans="1:33">
      <c r="A91" s="179"/>
      <c r="B91" s="179"/>
      <c r="C91" s="262"/>
    </row>
    <row r="92" spans="1:33">
      <c r="A92" s="179"/>
      <c r="B92" s="179"/>
      <c r="C92" s="262"/>
    </row>
    <row r="93" spans="1:33">
      <c r="A93" s="179"/>
      <c r="B93" s="179"/>
      <c r="C93" s="263"/>
      <c r="D93" s="263"/>
      <c r="E93" s="263"/>
    </row>
    <row r="94" spans="1:33">
      <c r="A94" s="179"/>
      <c r="B94" s="179"/>
      <c r="C94" s="263"/>
      <c r="D94" s="264"/>
      <c r="E94" s="264"/>
    </row>
    <row r="95" spans="1:33">
      <c r="A95" s="179"/>
      <c r="B95" s="179"/>
      <c r="C95" s="263"/>
      <c r="D95" s="264"/>
      <c r="E95" s="264"/>
    </row>
    <row r="96" spans="1:33">
      <c r="A96" s="179"/>
      <c r="B96" s="179"/>
    </row>
    <row r="97" spans="1:2">
      <c r="A97" s="179"/>
      <c r="B97" s="179"/>
    </row>
    <row r="98" spans="1:2">
      <c r="A98" s="179"/>
      <c r="B98" s="179"/>
    </row>
    <row r="99" spans="1:2">
      <c r="A99" s="179"/>
      <c r="B99" s="179"/>
    </row>
    <row r="100" spans="1:2">
      <c r="A100" s="179"/>
      <c r="B100" s="179"/>
    </row>
    <row r="101" spans="1:2">
      <c r="A101" s="179"/>
      <c r="B101" s="179"/>
    </row>
    <row r="102" spans="1:2">
      <c r="A102" s="179"/>
      <c r="B102" s="179"/>
    </row>
    <row r="103" spans="1:2">
      <c r="A103" s="179"/>
      <c r="B103" s="179"/>
    </row>
    <row r="104" spans="1:2">
      <c r="A104" s="179"/>
      <c r="B104" s="179"/>
    </row>
    <row r="105" spans="1:2">
      <c r="A105" s="179"/>
      <c r="B105" s="179"/>
    </row>
    <row r="106" spans="1:2">
      <c r="A106" s="179"/>
      <c r="B106" s="179"/>
    </row>
    <row r="107" spans="1:2">
      <c r="A107" s="179"/>
      <c r="B107" s="179"/>
    </row>
    <row r="108" spans="1:2">
      <c r="A108" s="179"/>
      <c r="B108" s="179"/>
    </row>
    <row r="109" spans="1:2">
      <c r="A109" s="179"/>
      <c r="B109" s="179"/>
    </row>
    <row r="110" spans="1:2">
      <c r="A110" s="179"/>
      <c r="B110" s="179"/>
    </row>
    <row r="111" spans="1:2">
      <c r="A111" s="179"/>
      <c r="B111" s="179"/>
    </row>
    <row r="112" spans="1:2">
      <c r="A112" s="179"/>
      <c r="B112" s="179"/>
    </row>
    <row r="113" spans="1:2">
      <c r="A113" s="179"/>
      <c r="B113" s="179"/>
    </row>
    <row r="114" spans="1:2">
      <c r="A114" s="179"/>
      <c r="B114" s="179"/>
    </row>
    <row r="115" spans="1:2">
      <c r="A115" s="179"/>
      <c r="B115" s="179"/>
    </row>
    <row r="116" spans="1:2">
      <c r="A116" s="179"/>
      <c r="B116" s="179"/>
    </row>
    <row r="117" spans="1:2">
      <c r="A117" s="179"/>
      <c r="B117" s="179"/>
    </row>
    <row r="118" spans="1:2">
      <c r="A118" s="179"/>
      <c r="B118" s="179"/>
    </row>
    <row r="119" spans="1:2">
      <c r="A119" s="179"/>
      <c r="B119" s="179"/>
    </row>
    <row r="120" spans="1:2">
      <c r="A120" s="179"/>
      <c r="B120" s="179"/>
    </row>
    <row r="121" spans="1:2">
      <c r="A121" s="179"/>
      <c r="B121" s="179"/>
    </row>
    <row r="122" spans="1:2">
      <c r="A122" s="179"/>
      <c r="B122" s="179"/>
    </row>
    <row r="123" spans="1:2">
      <c r="A123" s="179"/>
      <c r="B123" s="179"/>
    </row>
    <row r="124" spans="1:2">
      <c r="A124" s="179"/>
      <c r="B124" s="179"/>
    </row>
    <row r="125" spans="1:2">
      <c r="A125" s="179"/>
      <c r="B125" s="179"/>
    </row>
    <row r="126" spans="1:2">
      <c r="A126" s="179"/>
      <c r="B126" s="179"/>
    </row>
    <row r="127" spans="1:2">
      <c r="A127" s="179"/>
      <c r="B127" s="179"/>
    </row>
    <row r="128" spans="1:2">
      <c r="A128" s="179"/>
      <c r="B128" s="179"/>
    </row>
    <row r="129" spans="1:2">
      <c r="A129" s="179"/>
      <c r="B129" s="179"/>
    </row>
    <row r="130" spans="1:2">
      <c r="A130" s="179"/>
      <c r="B130" s="179"/>
    </row>
    <row r="131" spans="1:2">
      <c r="A131" s="179"/>
      <c r="B131" s="179"/>
    </row>
    <row r="132" spans="1:2">
      <c r="A132" s="179"/>
      <c r="B132" s="179"/>
    </row>
    <row r="133" spans="1:2">
      <c r="A133" s="179"/>
      <c r="B133" s="179"/>
    </row>
    <row r="134" spans="1:2">
      <c r="A134" s="179"/>
      <c r="B134" s="179"/>
    </row>
    <row r="135" spans="1:2">
      <c r="A135" s="179"/>
      <c r="B135" s="179"/>
    </row>
    <row r="136" spans="1:2">
      <c r="A136" s="179"/>
      <c r="B136" s="179"/>
    </row>
    <row r="137" spans="1:2">
      <c r="A137" s="179"/>
      <c r="B137" s="179"/>
    </row>
    <row r="138" spans="1:2">
      <c r="A138" s="179"/>
      <c r="B138" s="179"/>
    </row>
    <row r="139" spans="1:2">
      <c r="A139" s="179"/>
      <c r="B139" s="179"/>
    </row>
    <row r="140" spans="1:2">
      <c r="A140" s="179"/>
      <c r="B140" s="179"/>
    </row>
    <row r="141" spans="1:2">
      <c r="A141" s="179"/>
      <c r="B141" s="179"/>
    </row>
    <row r="142" spans="1:2">
      <c r="A142" s="179"/>
      <c r="B142" s="179"/>
    </row>
    <row r="143" spans="1:2">
      <c r="A143" s="179"/>
      <c r="B143" s="179"/>
    </row>
    <row r="144" spans="1:2">
      <c r="A144" s="179"/>
      <c r="B144" s="99"/>
    </row>
    <row r="145" spans="1:2">
      <c r="A145" s="179"/>
      <c r="B145" s="99"/>
    </row>
    <row r="146" spans="1:2">
      <c r="A146" s="99"/>
      <c r="B146" s="99"/>
    </row>
    <row r="147" spans="1:2">
      <c r="A147" s="99"/>
      <c r="B147" s="99"/>
    </row>
    <row r="148" spans="1:2">
      <c r="A148" s="99"/>
      <c r="B148" s="99"/>
    </row>
    <row r="149" spans="1:2">
      <c r="A149" s="99"/>
      <c r="B149" s="99"/>
    </row>
    <row r="150" spans="1:2">
      <c r="A150" s="99"/>
      <c r="B150" s="99"/>
    </row>
    <row r="151" spans="1:2">
      <c r="A151" s="99"/>
      <c r="B151" s="99"/>
    </row>
    <row r="152" spans="1:2">
      <c r="A152" s="99"/>
      <c r="B152" s="99"/>
    </row>
    <row r="153" spans="1:2">
      <c r="A153" s="99"/>
      <c r="B153" s="99"/>
    </row>
    <row r="154" spans="1:2">
      <c r="A154" s="99"/>
      <c r="B154" s="99"/>
    </row>
    <row r="155" spans="1:2">
      <c r="A155" s="99"/>
      <c r="B155" s="99"/>
    </row>
    <row r="156" spans="1:2">
      <c r="A156" s="99"/>
      <c r="B156" s="99"/>
    </row>
    <row r="157" spans="1:2">
      <c r="A157" s="99"/>
      <c r="B157" s="99"/>
    </row>
    <row r="158" spans="1:2">
      <c r="A158" s="99"/>
      <c r="B158" s="99"/>
    </row>
    <row r="159" spans="1:2">
      <c r="A159" s="99"/>
      <c r="B159" s="99"/>
    </row>
    <row r="160" spans="1:2">
      <c r="A160" s="99"/>
      <c r="B160" s="99"/>
    </row>
    <row r="161" spans="1:2">
      <c r="A161" s="99"/>
      <c r="B161" s="99"/>
    </row>
    <row r="162" spans="1:2">
      <c r="A162" s="99"/>
      <c r="B162" s="99"/>
    </row>
    <row r="163" spans="1:2">
      <c r="A163" s="99"/>
      <c r="B163" s="99"/>
    </row>
    <row r="164" spans="1:2">
      <c r="A164" s="99"/>
      <c r="B164" s="99"/>
    </row>
    <row r="165" spans="1:2">
      <c r="A165" s="99"/>
      <c r="B165" s="99"/>
    </row>
    <row r="166" spans="1:2">
      <c r="A166" s="99"/>
      <c r="B166" s="99"/>
    </row>
    <row r="167" spans="1:2">
      <c r="A167" s="99"/>
      <c r="B167" s="99"/>
    </row>
    <row r="168" spans="1:2">
      <c r="A168" s="99"/>
      <c r="B168" s="99"/>
    </row>
    <row r="169" spans="1:2">
      <c r="A169" s="99"/>
      <c r="B169" s="99"/>
    </row>
    <row r="170" spans="1:2">
      <c r="A170" s="99"/>
      <c r="B170" s="99"/>
    </row>
    <row r="171" spans="1:2">
      <c r="A171" s="99"/>
      <c r="B171" s="99"/>
    </row>
    <row r="172" spans="1:2">
      <c r="A172" s="99"/>
      <c r="B172" s="99"/>
    </row>
    <row r="173" spans="1:2">
      <c r="A173" s="99"/>
      <c r="B173" s="99"/>
    </row>
    <row r="174" spans="1:2">
      <c r="A174" s="99"/>
      <c r="B174" s="99"/>
    </row>
    <row r="175" spans="1:2">
      <c r="A175" s="99"/>
      <c r="B175" s="99"/>
    </row>
    <row r="176" spans="1:2">
      <c r="A176" s="99"/>
      <c r="B176" s="99"/>
    </row>
    <row r="177" spans="1:2">
      <c r="A177" s="99"/>
      <c r="B177" s="99"/>
    </row>
    <row r="178" spans="1:2">
      <c r="A178" s="99"/>
      <c r="B178" s="99"/>
    </row>
    <row r="179" spans="1:2">
      <c r="A179" s="99"/>
      <c r="B179" s="99"/>
    </row>
    <row r="180" spans="1:2">
      <c r="A180" s="99"/>
      <c r="B180" s="99"/>
    </row>
    <row r="181" spans="1:2">
      <c r="A181" s="99"/>
      <c r="B181" s="99"/>
    </row>
    <row r="182" spans="1:2">
      <c r="A182" s="99"/>
      <c r="B182" s="99"/>
    </row>
    <row r="183" spans="1:2">
      <c r="A183" s="99"/>
      <c r="B183" s="99"/>
    </row>
    <row r="184" spans="1:2">
      <c r="A184" s="99"/>
      <c r="B184" s="99"/>
    </row>
    <row r="185" spans="1:2">
      <c r="A185" s="99"/>
      <c r="B185" s="99"/>
    </row>
    <row r="186" spans="1:2">
      <c r="A186" s="99"/>
      <c r="B186" s="99"/>
    </row>
    <row r="187" spans="1:2">
      <c r="A187" s="99"/>
      <c r="B187" s="99"/>
    </row>
    <row r="188" spans="1:2">
      <c r="A188" s="99"/>
      <c r="B188" s="99"/>
    </row>
    <row r="189" spans="1:2">
      <c r="A189" s="99"/>
      <c r="B189" s="99"/>
    </row>
    <row r="190" spans="1:2">
      <c r="A190" s="99"/>
      <c r="B190" s="99"/>
    </row>
    <row r="191" spans="1:2">
      <c r="A191" s="99"/>
      <c r="B191" s="99"/>
    </row>
    <row r="192" spans="1:2">
      <c r="A192" s="99"/>
      <c r="B192" s="99"/>
    </row>
    <row r="193" spans="1:2">
      <c r="A193" s="99"/>
      <c r="B193" s="99"/>
    </row>
    <row r="194" spans="1:2">
      <c r="A194" s="99"/>
      <c r="B194" s="99"/>
    </row>
    <row r="195" spans="1:2">
      <c r="A195" s="99"/>
      <c r="B195" s="99"/>
    </row>
    <row r="196" spans="1:2">
      <c r="A196" s="99"/>
      <c r="B196" s="99"/>
    </row>
    <row r="197" spans="1:2">
      <c r="A197" s="99"/>
      <c r="B197" s="99"/>
    </row>
    <row r="198" spans="1:2">
      <c r="A198" s="99"/>
      <c r="B198" s="99"/>
    </row>
    <row r="199" spans="1:2">
      <c r="A199" s="99"/>
      <c r="B199" s="99"/>
    </row>
    <row r="200" spans="1:2">
      <c r="A200" s="99"/>
      <c r="B200" s="99"/>
    </row>
    <row r="201" spans="1:2">
      <c r="A201" s="99"/>
      <c r="B201" s="99"/>
    </row>
    <row r="202" spans="1:2">
      <c r="A202" s="99"/>
      <c r="B202" s="99"/>
    </row>
    <row r="203" spans="1:2">
      <c r="A203" s="99"/>
      <c r="B203" s="99"/>
    </row>
    <row r="204" spans="1:2">
      <c r="A204" s="99"/>
      <c r="B204" s="99"/>
    </row>
    <row r="205" spans="1:2">
      <c r="A205" s="99"/>
      <c r="B205" s="99"/>
    </row>
    <row r="206" spans="1:2">
      <c r="A206" s="99"/>
      <c r="B206" s="99"/>
    </row>
    <row r="207" spans="1:2">
      <c r="A207" s="99"/>
      <c r="B207" s="99"/>
    </row>
    <row r="208" spans="1:2">
      <c r="A208" s="99"/>
      <c r="B208" s="99"/>
    </row>
    <row r="209" spans="1:2">
      <c r="A209" s="99"/>
      <c r="B209" s="99"/>
    </row>
    <row r="210" spans="1:2">
      <c r="A210" s="99"/>
      <c r="B210" s="99"/>
    </row>
    <row r="211" spans="1:2">
      <c r="A211" s="99"/>
      <c r="B211" s="99"/>
    </row>
    <row r="212" spans="1:2">
      <c r="A212" s="99"/>
      <c r="B212" s="99"/>
    </row>
    <row r="213" spans="1:2">
      <c r="A213" s="99"/>
      <c r="B213" s="99"/>
    </row>
    <row r="214" spans="1:2">
      <c r="A214" s="99"/>
      <c r="B214" s="99"/>
    </row>
    <row r="215" spans="1:2">
      <c r="A215" s="99"/>
      <c r="B215" s="99"/>
    </row>
    <row r="216" spans="1:2">
      <c r="A216" s="99"/>
      <c r="B216" s="99"/>
    </row>
    <row r="217" spans="1:2">
      <c r="A217" s="99"/>
      <c r="B217" s="99"/>
    </row>
    <row r="218" spans="1:2">
      <c r="A218" s="99"/>
      <c r="B218" s="99"/>
    </row>
    <row r="219" spans="1:2">
      <c r="A219" s="99"/>
      <c r="B219" s="99"/>
    </row>
    <row r="220" spans="1:2">
      <c r="A220" s="99"/>
      <c r="B220" s="99"/>
    </row>
    <row r="221" spans="1:2">
      <c r="A221" s="99"/>
      <c r="B221" s="99"/>
    </row>
    <row r="222" spans="1:2">
      <c r="A222" s="99"/>
      <c r="B222" s="99"/>
    </row>
    <row r="223" spans="1:2">
      <c r="A223" s="99"/>
      <c r="B223" s="99"/>
    </row>
    <row r="224" spans="1:2">
      <c r="A224" s="99"/>
      <c r="B224" s="99"/>
    </row>
    <row r="225" spans="1:2">
      <c r="A225" s="99"/>
      <c r="B225" s="99"/>
    </row>
    <row r="226" spans="1:2">
      <c r="A226" s="99"/>
      <c r="B226" s="99"/>
    </row>
    <row r="227" spans="1:2">
      <c r="A227" s="99"/>
      <c r="B227" s="99"/>
    </row>
    <row r="228" spans="1:2">
      <c r="A228" s="99"/>
      <c r="B228" s="99"/>
    </row>
    <row r="229" spans="1:2">
      <c r="A229" s="99"/>
      <c r="B229" s="99"/>
    </row>
    <row r="230" spans="1:2">
      <c r="A230" s="99"/>
      <c r="B230" s="99"/>
    </row>
    <row r="231" spans="1:2">
      <c r="A231" s="99"/>
      <c r="B231" s="99"/>
    </row>
    <row r="232" spans="1:2">
      <c r="A232" s="99"/>
      <c r="B232" s="99"/>
    </row>
    <row r="233" spans="1:2">
      <c r="A233" s="99"/>
      <c r="B233" s="99"/>
    </row>
    <row r="234" spans="1:2">
      <c r="A234" s="99"/>
      <c r="B234" s="99"/>
    </row>
    <row r="235" spans="1:2">
      <c r="A235" s="99"/>
      <c r="B235" s="99"/>
    </row>
    <row r="236" spans="1:2">
      <c r="A236" s="99"/>
      <c r="B236" s="99"/>
    </row>
    <row r="237" spans="1:2">
      <c r="A237" s="99"/>
      <c r="B237" s="99"/>
    </row>
    <row r="238" spans="1:2">
      <c r="A238" s="99"/>
      <c r="B238" s="99"/>
    </row>
    <row r="239" spans="1:2">
      <c r="A239" s="99"/>
      <c r="B239" s="99"/>
    </row>
    <row r="240" spans="1:2">
      <c r="A240" s="99"/>
      <c r="B240" s="99"/>
    </row>
    <row r="241" spans="1:2">
      <c r="A241" s="99"/>
      <c r="B241" s="99"/>
    </row>
    <row r="242" spans="1:2">
      <c r="A242" s="99"/>
      <c r="B242" s="99"/>
    </row>
    <row r="243" spans="1:2">
      <c r="A243" s="99"/>
      <c r="B243" s="99"/>
    </row>
    <row r="244" spans="1:2">
      <c r="A244" s="99"/>
      <c r="B244" s="99"/>
    </row>
    <row r="245" spans="1:2">
      <c r="A245" s="99"/>
      <c r="B245" s="99"/>
    </row>
    <row r="246" spans="1:2">
      <c r="A246" s="99"/>
      <c r="B246" s="99"/>
    </row>
    <row r="247" spans="1:2">
      <c r="A247" s="99"/>
      <c r="B247" s="99"/>
    </row>
    <row r="248" spans="1:2">
      <c r="A248" s="99"/>
      <c r="B248" s="99"/>
    </row>
    <row r="249" spans="1:2">
      <c r="A249" s="99"/>
      <c r="B249" s="99"/>
    </row>
    <row r="250" spans="1:2">
      <c r="A250" s="99"/>
      <c r="B250" s="99"/>
    </row>
    <row r="251" spans="1:2">
      <c r="A251" s="99"/>
      <c r="B251" s="99"/>
    </row>
    <row r="252" spans="1:2">
      <c r="A252" s="99"/>
      <c r="B252" s="99"/>
    </row>
    <row r="253" spans="1:2">
      <c r="A253" s="99"/>
      <c r="B253" s="99"/>
    </row>
    <row r="254" spans="1:2">
      <c r="A254" s="99"/>
      <c r="B254" s="99"/>
    </row>
    <row r="255" spans="1:2">
      <c r="A255" s="99"/>
      <c r="B255" s="99"/>
    </row>
    <row r="256" spans="1:2">
      <c r="A256" s="99"/>
      <c r="B256" s="99"/>
    </row>
    <row r="257" spans="1:2">
      <c r="A257" s="99"/>
      <c r="B257" s="99"/>
    </row>
    <row r="258" spans="1:2">
      <c r="A258" s="99"/>
      <c r="B258" s="99"/>
    </row>
    <row r="259" spans="1:2">
      <c r="A259" s="99"/>
      <c r="B259" s="99"/>
    </row>
    <row r="260" spans="1:2">
      <c r="A260" s="99"/>
      <c r="B260" s="99"/>
    </row>
    <row r="261" spans="1:2">
      <c r="A261" s="99"/>
      <c r="B261" s="99"/>
    </row>
    <row r="262" spans="1:2">
      <c r="A262" s="99"/>
      <c r="B262" s="99"/>
    </row>
    <row r="263" spans="1:2">
      <c r="A263" s="99"/>
      <c r="B263" s="99"/>
    </row>
    <row r="264" spans="1:2">
      <c r="A264" s="99"/>
      <c r="B264" s="99"/>
    </row>
    <row r="265" spans="1:2">
      <c r="A265" s="99"/>
      <c r="B265" s="99"/>
    </row>
    <row r="266" spans="1:2">
      <c r="A266" s="99"/>
      <c r="B266" s="99"/>
    </row>
    <row r="267" spans="1:2">
      <c r="A267" s="99"/>
      <c r="B267" s="99"/>
    </row>
    <row r="268" spans="1:2">
      <c r="A268" s="99"/>
      <c r="B268" s="99"/>
    </row>
    <row r="269" spans="1:2">
      <c r="A269" s="99"/>
      <c r="B269" s="99"/>
    </row>
    <row r="270" spans="1:2">
      <c r="A270" s="99"/>
      <c r="B270" s="99"/>
    </row>
    <row r="271" spans="1:2">
      <c r="A271" s="99"/>
      <c r="B271" s="99"/>
    </row>
    <row r="272" spans="1:2">
      <c r="A272" s="99"/>
      <c r="B272" s="99"/>
    </row>
    <row r="273" spans="1:2">
      <c r="A273" s="99"/>
      <c r="B273" s="99"/>
    </row>
    <row r="274" spans="1:2">
      <c r="A274" s="99"/>
      <c r="B274" s="99"/>
    </row>
    <row r="275" spans="1:2">
      <c r="A275" s="99"/>
      <c r="B275" s="99"/>
    </row>
    <row r="276" spans="1:2">
      <c r="A276" s="99"/>
      <c r="B276" s="99"/>
    </row>
    <row r="277" spans="1:2">
      <c r="A277" s="99"/>
      <c r="B277" s="99"/>
    </row>
    <row r="278" spans="1:2">
      <c r="A278" s="99"/>
      <c r="B278" s="99"/>
    </row>
    <row r="279" spans="1:2">
      <c r="A279" s="99"/>
      <c r="B279" s="99"/>
    </row>
    <row r="280" spans="1:2">
      <c r="A280" s="99"/>
      <c r="B280" s="99"/>
    </row>
    <row r="281" spans="1:2">
      <c r="A281" s="99"/>
      <c r="B281" s="99"/>
    </row>
    <row r="282" spans="1:2">
      <c r="A282" s="99"/>
      <c r="B282" s="99"/>
    </row>
    <row r="283" spans="1:2">
      <c r="A283" s="99"/>
      <c r="B283" s="99"/>
    </row>
    <row r="284" spans="1:2">
      <c r="A284" s="99"/>
      <c r="B284" s="99"/>
    </row>
    <row r="285" spans="1:2">
      <c r="A285" s="99"/>
      <c r="B285" s="99"/>
    </row>
    <row r="286" spans="1:2">
      <c r="A286" s="99"/>
      <c r="B286" s="99"/>
    </row>
    <row r="287" spans="1:2">
      <c r="A287" s="99"/>
      <c r="B287" s="99"/>
    </row>
    <row r="288" spans="1:2">
      <c r="A288" s="99"/>
      <c r="B288" s="99"/>
    </row>
    <row r="289" spans="1:2">
      <c r="A289" s="99"/>
      <c r="B289" s="99"/>
    </row>
    <row r="290" spans="1:2">
      <c r="A290" s="99"/>
      <c r="B290" s="99"/>
    </row>
    <row r="291" spans="1:2">
      <c r="A291" s="99"/>
      <c r="B291" s="99"/>
    </row>
    <row r="292" spans="1:2">
      <c r="A292" s="99"/>
      <c r="B292" s="99"/>
    </row>
    <row r="293" spans="1:2">
      <c r="A293" s="99"/>
      <c r="B293" s="99"/>
    </row>
    <row r="294" spans="1:2">
      <c r="A294" s="99"/>
      <c r="B294" s="99"/>
    </row>
    <row r="295" spans="1:2">
      <c r="A295" s="99"/>
      <c r="B295" s="99"/>
    </row>
    <row r="296" spans="1:2">
      <c r="A296" s="99"/>
      <c r="B296" s="99"/>
    </row>
    <row r="297" spans="1:2">
      <c r="A297" s="99"/>
      <c r="B297" s="99"/>
    </row>
    <row r="298" spans="1:2">
      <c r="A298" s="99"/>
      <c r="B298" s="99"/>
    </row>
    <row r="299" spans="1:2">
      <c r="A299" s="99"/>
      <c r="B299" s="99"/>
    </row>
    <row r="300" spans="1:2">
      <c r="A300" s="99"/>
      <c r="B300" s="99"/>
    </row>
    <row r="301" spans="1:2">
      <c r="A301" s="99"/>
      <c r="B301" s="99"/>
    </row>
    <row r="302" spans="1:2">
      <c r="A302" s="99"/>
      <c r="B302" s="99"/>
    </row>
    <row r="303" spans="1:2">
      <c r="A303" s="99"/>
      <c r="B303" s="99"/>
    </row>
    <row r="304" spans="1:2">
      <c r="A304" s="99"/>
      <c r="B304" s="99"/>
    </row>
    <row r="305" spans="1:2">
      <c r="A305" s="99"/>
      <c r="B305" s="99"/>
    </row>
    <row r="306" spans="1:2">
      <c r="A306" s="99"/>
      <c r="B306" s="99"/>
    </row>
    <row r="307" spans="1:2">
      <c r="A307" s="99"/>
      <c r="B307" s="99"/>
    </row>
    <row r="308" spans="1:2">
      <c r="A308" s="99"/>
      <c r="B308" s="99"/>
    </row>
    <row r="309" spans="1:2">
      <c r="A309" s="99"/>
      <c r="B309" s="99"/>
    </row>
    <row r="310" spans="1:2">
      <c r="A310" s="99"/>
      <c r="B310" s="99"/>
    </row>
    <row r="311" spans="1:2">
      <c r="A311" s="99"/>
      <c r="B311" s="99"/>
    </row>
    <row r="312" spans="1:2">
      <c r="A312" s="99"/>
      <c r="B312" s="99"/>
    </row>
    <row r="313" spans="1:2">
      <c r="A313" s="99"/>
      <c r="B313" s="99"/>
    </row>
    <row r="314" spans="1:2">
      <c r="A314" s="99"/>
      <c r="B314" s="99"/>
    </row>
    <row r="315" spans="1:2">
      <c r="A315" s="99"/>
      <c r="B315" s="99"/>
    </row>
    <row r="316" spans="1:2">
      <c r="A316" s="99"/>
      <c r="B316" s="99"/>
    </row>
    <row r="317" spans="1:2">
      <c r="A317" s="99"/>
      <c r="B317" s="99"/>
    </row>
    <row r="318" spans="1:2">
      <c r="A318" s="99"/>
      <c r="B318" s="99"/>
    </row>
    <row r="319" spans="1:2">
      <c r="A319" s="99"/>
      <c r="B319" s="99"/>
    </row>
    <row r="320" spans="1:2">
      <c r="A320" s="99"/>
      <c r="B320" s="99"/>
    </row>
    <row r="321" spans="1:2">
      <c r="A321" s="99"/>
      <c r="B321" s="99"/>
    </row>
    <row r="322" spans="1:2">
      <c r="A322" s="99"/>
      <c r="B322" s="99"/>
    </row>
    <row r="323" spans="1:2">
      <c r="A323" s="99"/>
      <c r="B323" s="99"/>
    </row>
    <row r="324" spans="1:2">
      <c r="A324" s="99"/>
      <c r="B324" s="99"/>
    </row>
    <row r="325" spans="1:2">
      <c r="A325" s="99"/>
      <c r="B325" s="99"/>
    </row>
    <row r="326" spans="1:2">
      <c r="A326" s="99"/>
      <c r="B326" s="99"/>
    </row>
    <row r="327" spans="1:2">
      <c r="A327" s="99"/>
      <c r="B327" s="99"/>
    </row>
    <row r="328" spans="1:2">
      <c r="A328" s="99"/>
      <c r="B328" s="99"/>
    </row>
    <row r="329" spans="1:2">
      <c r="A329" s="99"/>
      <c r="B329" s="99"/>
    </row>
    <row r="330" spans="1:2">
      <c r="A330" s="99"/>
      <c r="B330" s="99"/>
    </row>
    <row r="331" spans="1:2">
      <c r="A331" s="99"/>
      <c r="B331" s="99"/>
    </row>
    <row r="332" spans="1:2">
      <c r="A332" s="99"/>
      <c r="B332" s="99"/>
    </row>
    <row r="333" spans="1:2">
      <c r="A333" s="99"/>
      <c r="B333" s="99"/>
    </row>
    <row r="334" spans="1:2">
      <c r="A334" s="99"/>
      <c r="B334" s="99"/>
    </row>
    <row r="335" spans="1:2">
      <c r="A335" s="99"/>
      <c r="B335" s="99"/>
    </row>
    <row r="336" spans="1:2">
      <c r="A336" s="99"/>
      <c r="B336" s="99"/>
    </row>
    <row r="337" spans="1:2">
      <c r="A337" s="99"/>
      <c r="B337" s="99"/>
    </row>
    <row r="338" spans="1:2">
      <c r="A338" s="99"/>
      <c r="B338" s="99"/>
    </row>
    <row r="339" spans="1:2">
      <c r="A339" s="99"/>
      <c r="B339" s="99"/>
    </row>
    <row r="340" spans="1:2">
      <c r="A340" s="99"/>
      <c r="B340" s="99"/>
    </row>
    <row r="341" spans="1:2">
      <c r="A341" s="99"/>
      <c r="B341" s="99"/>
    </row>
    <row r="342" spans="1:2">
      <c r="A342" s="99"/>
      <c r="B342" s="99"/>
    </row>
    <row r="343" spans="1:2">
      <c r="A343" s="99"/>
      <c r="B343" s="99"/>
    </row>
    <row r="344" spans="1:2">
      <c r="A344" s="99"/>
      <c r="B344" s="99"/>
    </row>
    <row r="345" spans="1:2">
      <c r="A345" s="99"/>
      <c r="B345" s="99"/>
    </row>
    <row r="346" spans="1:2">
      <c r="A346" s="99"/>
      <c r="B346" s="99"/>
    </row>
    <row r="347" spans="1:2">
      <c r="A347" s="99"/>
      <c r="B347" s="99"/>
    </row>
    <row r="348" spans="1:2">
      <c r="A348" s="99"/>
      <c r="B348" s="99"/>
    </row>
    <row r="349" spans="1:2">
      <c r="A349" s="99"/>
      <c r="B349" s="99"/>
    </row>
    <row r="350" spans="1:2">
      <c r="A350" s="99"/>
      <c r="B350" s="99"/>
    </row>
    <row r="351" spans="1:2">
      <c r="A351" s="99"/>
      <c r="B351" s="99"/>
    </row>
    <row r="352" spans="1:2">
      <c r="A352" s="99"/>
      <c r="B352" s="99"/>
    </row>
    <row r="353" spans="1:2">
      <c r="A353" s="99"/>
      <c r="B353" s="99"/>
    </row>
    <row r="354" spans="1:2">
      <c r="A354" s="99"/>
      <c r="B354" s="99"/>
    </row>
    <row r="355" spans="1:2">
      <c r="A355" s="99"/>
      <c r="B355" s="99"/>
    </row>
    <row r="356" spans="1:2">
      <c r="A356" s="99"/>
      <c r="B356" s="99"/>
    </row>
    <row r="357" spans="1:2">
      <c r="A357" s="99"/>
      <c r="B357" s="99"/>
    </row>
    <row r="358" spans="1:2">
      <c r="A358" s="99"/>
      <c r="B358" s="99"/>
    </row>
    <row r="359" spans="1:2">
      <c r="A359" s="99"/>
      <c r="B359" s="99"/>
    </row>
    <row r="360" spans="1:2">
      <c r="A360" s="99"/>
      <c r="B360" s="99"/>
    </row>
    <row r="361" spans="1:2">
      <c r="A361" s="99"/>
      <c r="B361" s="99"/>
    </row>
    <row r="362" spans="1:2">
      <c r="A362" s="99"/>
      <c r="B362" s="99"/>
    </row>
    <row r="363" spans="1:2">
      <c r="A363" s="99"/>
      <c r="B363" s="99"/>
    </row>
    <row r="364" spans="1:2">
      <c r="A364" s="99"/>
      <c r="B364" s="99"/>
    </row>
    <row r="365" spans="1:2">
      <c r="A365" s="99"/>
      <c r="B365" s="99"/>
    </row>
    <row r="366" spans="1:2">
      <c r="A366" s="99"/>
      <c r="B366" s="99"/>
    </row>
    <row r="367" spans="1:2">
      <c r="A367" s="99"/>
      <c r="B367" s="99"/>
    </row>
    <row r="368" spans="1:2">
      <c r="A368" s="99"/>
      <c r="B368" s="99"/>
    </row>
    <row r="369" spans="1:2">
      <c r="A369" s="99"/>
      <c r="B369" s="99"/>
    </row>
    <row r="370" spans="1:2">
      <c r="A370" s="99"/>
      <c r="B370" s="99"/>
    </row>
    <row r="371" spans="1:2">
      <c r="A371" s="99"/>
      <c r="B371" s="99"/>
    </row>
    <row r="372" spans="1:2">
      <c r="A372" s="99"/>
      <c r="B372" s="99"/>
    </row>
    <row r="373" spans="1:2">
      <c r="A373" s="99"/>
      <c r="B373" s="99"/>
    </row>
    <row r="374" spans="1:2">
      <c r="A374" s="99"/>
      <c r="B374" s="99"/>
    </row>
    <row r="375" spans="1:2">
      <c r="A375" s="99"/>
      <c r="B375" s="99"/>
    </row>
    <row r="376" spans="1:2">
      <c r="A376" s="99"/>
      <c r="B376" s="99"/>
    </row>
    <row r="377" spans="1:2">
      <c r="A377" s="99"/>
      <c r="B377" s="99"/>
    </row>
    <row r="378" spans="1:2">
      <c r="A378" s="99"/>
      <c r="B378" s="99"/>
    </row>
    <row r="379" spans="1:2">
      <c r="A379" s="99"/>
      <c r="B379" s="99"/>
    </row>
    <row r="380" spans="1:2">
      <c r="A380" s="99"/>
      <c r="B380" s="99"/>
    </row>
    <row r="381" spans="1:2">
      <c r="A381" s="99"/>
      <c r="B381" s="99"/>
    </row>
    <row r="382" spans="1:2">
      <c r="A382" s="99"/>
      <c r="B382" s="99"/>
    </row>
    <row r="383" spans="1:2">
      <c r="A383" s="99"/>
      <c r="B383" s="99"/>
    </row>
    <row r="384" spans="1:2">
      <c r="A384" s="99"/>
      <c r="B384" s="99"/>
    </row>
    <row r="385" spans="1:2">
      <c r="A385" s="99"/>
      <c r="B385" s="99"/>
    </row>
    <row r="386" spans="1:2">
      <c r="A386" s="99"/>
      <c r="B386" s="99"/>
    </row>
    <row r="387" spans="1:2">
      <c r="A387" s="99"/>
      <c r="B387" s="99"/>
    </row>
    <row r="388" spans="1:2">
      <c r="A388" s="99"/>
      <c r="B388" s="99"/>
    </row>
    <row r="389" spans="1:2">
      <c r="A389" s="99"/>
      <c r="B389" s="99"/>
    </row>
    <row r="390" spans="1:2">
      <c r="A390" s="99"/>
      <c r="B390" s="99"/>
    </row>
    <row r="391" spans="1:2">
      <c r="A391" s="99"/>
      <c r="B391" s="99"/>
    </row>
    <row r="392" spans="1:2">
      <c r="A392" s="99"/>
      <c r="B392" s="99"/>
    </row>
    <row r="393" spans="1:2">
      <c r="A393" s="99"/>
      <c r="B393" s="99"/>
    </row>
    <row r="394" spans="1:2">
      <c r="A394" s="99"/>
      <c r="B394" s="99"/>
    </row>
    <row r="395" spans="1:2">
      <c r="A395" s="99"/>
      <c r="B395" s="99"/>
    </row>
    <row r="396" spans="1:2">
      <c r="A396" s="99"/>
      <c r="B396" s="99"/>
    </row>
    <row r="397" spans="1:2">
      <c r="A397" s="99"/>
      <c r="B397" s="99"/>
    </row>
    <row r="398" spans="1:2">
      <c r="A398" s="99"/>
      <c r="B398" s="99"/>
    </row>
    <row r="399" spans="1:2">
      <c r="A399" s="99"/>
      <c r="B399" s="99"/>
    </row>
    <row r="400" spans="1:2">
      <c r="A400" s="99"/>
      <c r="B400" s="99"/>
    </row>
    <row r="401" spans="1:2">
      <c r="A401" s="99"/>
      <c r="B401" s="99"/>
    </row>
    <row r="402" spans="1:2">
      <c r="A402" s="99"/>
      <c r="B402" s="99"/>
    </row>
    <row r="403" spans="1:2">
      <c r="A403" s="99"/>
      <c r="B403" s="99"/>
    </row>
    <row r="404" spans="1:2">
      <c r="A404" s="99"/>
      <c r="B404" s="99"/>
    </row>
    <row r="405" spans="1:2">
      <c r="A405" s="99"/>
      <c r="B405" s="99"/>
    </row>
    <row r="406" spans="1:2">
      <c r="A406" s="99"/>
      <c r="B406" s="99"/>
    </row>
    <row r="407" spans="1:2">
      <c r="A407" s="99"/>
      <c r="B407" s="99"/>
    </row>
    <row r="408" spans="1:2">
      <c r="A408" s="99"/>
      <c r="B408" s="99"/>
    </row>
    <row r="409" spans="1:2">
      <c r="A409" s="99"/>
      <c r="B409" s="99"/>
    </row>
    <row r="410" spans="1:2">
      <c r="A410" s="99"/>
      <c r="B410" s="99"/>
    </row>
    <row r="411" spans="1:2">
      <c r="A411" s="99"/>
      <c r="B411" s="99"/>
    </row>
    <row r="412" spans="1:2">
      <c r="A412" s="99"/>
      <c r="B412" s="99"/>
    </row>
    <row r="413" spans="1:2">
      <c r="A413" s="99"/>
      <c r="B413" s="99"/>
    </row>
    <row r="414" spans="1:2">
      <c r="A414" s="99"/>
      <c r="B414" s="99"/>
    </row>
    <row r="415" spans="1:2">
      <c r="A415" s="99"/>
      <c r="B415" s="99"/>
    </row>
    <row r="416" spans="1:2">
      <c r="A416" s="99"/>
      <c r="B416" s="99"/>
    </row>
    <row r="417" spans="1:2">
      <c r="A417" s="99"/>
      <c r="B417" s="99"/>
    </row>
    <row r="418" spans="1:2">
      <c r="A418" s="99"/>
      <c r="B418" s="99"/>
    </row>
    <row r="419" spans="1:2">
      <c r="A419" s="99"/>
      <c r="B419" s="99"/>
    </row>
    <row r="420" spans="1:2">
      <c r="A420" s="99"/>
      <c r="B420" s="99"/>
    </row>
    <row r="421" spans="1:2">
      <c r="A421" s="99"/>
      <c r="B421" s="99"/>
    </row>
    <row r="422" spans="1:2">
      <c r="A422" s="99"/>
      <c r="B422" s="99"/>
    </row>
    <row r="423" spans="1:2">
      <c r="A423" s="99"/>
      <c r="B423" s="99"/>
    </row>
    <row r="424" spans="1:2">
      <c r="A424" s="99"/>
      <c r="B424" s="99"/>
    </row>
    <row r="425" spans="1:2">
      <c r="A425" s="99"/>
      <c r="B425" s="99"/>
    </row>
    <row r="426" spans="1:2">
      <c r="A426" s="99"/>
      <c r="B426" s="99"/>
    </row>
    <row r="427" spans="1:2">
      <c r="A427" s="99"/>
      <c r="B427" s="99"/>
    </row>
    <row r="428" spans="1:2">
      <c r="A428" s="99"/>
      <c r="B428" s="99"/>
    </row>
    <row r="429" spans="1:2">
      <c r="A429" s="99"/>
      <c r="B429" s="99"/>
    </row>
  </sheetData>
  <mergeCells count="1">
    <mergeCell ref="A3:B3"/>
  </mergeCells>
  <phoneticPr fontId="5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dimension ref="A1:BV94"/>
  <sheetViews>
    <sheetView workbookViewId="0">
      <pane xSplit="2" ySplit="3" topLeftCell="C43" activePane="bottomRight" state="frozen"/>
      <selection pane="topRight" activeCell="C1" sqref="C1"/>
      <selection pane="bottomLeft" activeCell="A4" sqref="A4"/>
      <selection pane="bottomRight" activeCell="D38" sqref="D38"/>
    </sheetView>
  </sheetViews>
  <sheetFormatPr defaultColWidth="9.109375" defaultRowHeight="13.8"/>
  <cols>
    <col min="1" max="1" width="9.6640625" style="97" customWidth="1"/>
    <col min="2" max="2" width="32.6640625" style="97" customWidth="1"/>
    <col min="3" max="3" width="8.44140625" style="97" customWidth="1"/>
    <col min="4" max="4" width="14.44140625" style="97" bestFit="1" customWidth="1"/>
    <col min="5" max="5" width="13.44140625" style="97" bestFit="1" customWidth="1"/>
    <col min="6" max="6" width="14.44140625" style="97" bestFit="1" customWidth="1"/>
    <col min="7" max="9" width="13.44140625" style="97" bestFit="1" customWidth="1"/>
    <col min="10" max="10" width="13.109375" style="97" customWidth="1"/>
    <col min="11" max="13" width="13.44140625" style="97" bestFit="1" customWidth="1"/>
    <col min="14" max="14" width="14.44140625" style="97" bestFit="1" customWidth="1"/>
    <col min="15" max="16" width="13.44140625" style="97" bestFit="1" customWidth="1"/>
    <col min="17" max="17" width="12.33203125" style="97" bestFit="1" customWidth="1"/>
    <col min="18" max="24" width="13.44140625" style="97" bestFit="1" customWidth="1"/>
    <col min="25" max="25" width="14.44140625" style="97" bestFit="1" customWidth="1"/>
    <col min="26" max="33" width="13.44140625" style="97" bestFit="1" customWidth="1"/>
    <col min="34" max="16384" width="9.109375" style="97"/>
  </cols>
  <sheetData>
    <row r="1" spans="1:74" ht="18">
      <c r="A1" s="352" t="s">
        <v>350</v>
      </c>
      <c r="B1" s="194"/>
      <c r="C1" s="209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</row>
    <row r="2" spans="1:74" ht="18.600000000000001" thickBot="1">
      <c r="A2" s="36" t="s">
        <v>352</v>
      </c>
      <c r="B2" s="177"/>
      <c r="C2" s="229"/>
      <c r="D2" s="230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</row>
    <row r="3" spans="1:74" ht="18.600000000000001" thickBot="1">
      <c r="A3" s="426" t="s">
        <v>29</v>
      </c>
      <c r="B3" s="427"/>
      <c r="C3" s="231" t="s">
        <v>90</v>
      </c>
      <c r="D3" s="232">
        <f>PB!D3</f>
        <v>1</v>
      </c>
      <c r="E3" s="232">
        <f>PB!E3</f>
        <v>2</v>
      </c>
      <c r="F3" s="232">
        <f>PB!F3</f>
        <v>3</v>
      </c>
      <c r="G3" s="232">
        <f>PB!G3</f>
        <v>4</v>
      </c>
      <c r="H3" s="232">
        <f>PB!H3</f>
        <v>5</v>
      </c>
      <c r="I3" s="232">
        <f>PB!I3</f>
        <v>6</v>
      </c>
      <c r="J3" s="232">
        <f>PB!J3</f>
        <v>7</v>
      </c>
      <c r="K3" s="232">
        <f>PB!K3</f>
        <v>8</v>
      </c>
      <c r="L3" s="232">
        <f>PB!L3</f>
        <v>9</v>
      </c>
      <c r="M3" s="232">
        <f>PB!M3</f>
        <v>10</v>
      </c>
      <c r="N3" s="232">
        <f>PB!N3</f>
        <v>11</v>
      </c>
      <c r="O3" s="232">
        <f>PB!O3</f>
        <v>12</v>
      </c>
      <c r="P3" s="232">
        <f>PB!P3</f>
        <v>13</v>
      </c>
      <c r="Q3" s="232">
        <f>PB!Q3</f>
        <v>14</v>
      </c>
      <c r="R3" s="232">
        <f>PB!R3</f>
        <v>15</v>
      </c>
      <c r="S3" s="232">
        <f>PB!S3</f>
        <v>16</v>
      </c>
      <c r="T3" s="232">
        <f>PB!T3</f>
        <v>17</v>
      </c>
      <c r="U3" s="232">
        <f>PB!U3</f>
        <v>18</v>
      </c>
      <c r="V3" s="232">
        <f>PB!V3</f>
        <v>19</v>
      </c>
      <c r="W3" s="232">
        <f>PB!W3</f>
        <v>20</v>
      </c>
      <c r="X3" s="232">
        <f>PB!X3</f>
        <v>21</v>
      </c>
      <c r="Y3" s="232">
        <f>PB!Y3</f>
        <v>22</v>
      </c>
      <c r="Z3" s="232">
        <f>PB!Z3</f>
        <v>23</v>
      </c>
      <c r="AA3" s="232">
        <f>PB!AA3</f>
        <v>24</v>
      </c>
      <c r="AB3" s="232">
        <f>PB!AB3</f>
        <v>25</v>
      </c>
      <c r="AC3" s="232">
        <f>PB!AC3</f>
        <v>26</v>
      </c>
      <c r="AD3" s="232">
        <f>PB!AD3</f>
        <v>27</v>
      </c>
      <c r="AE3" s="232">
        <f>PB!AE3</f>
        <v>28</v>
      </c>
      <c r="AF3" s="232">
        <f>PB!AF3</f>
        <v>29</v>
      </c>
      <c r="AG3" s="232">
        <f>PB!AG3</f>
        <v>30</v>
      </c>
    </row>
    <row r="4" spans="1:74" ht="18">
      <c r="A4" s="184" t="s">
        <v>30</v>
      </c>
      <c r="B4" s="233"/>
      <c r="C4" s="234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O4" s="194" t="s">
        <v>0</v>
      </c>
      <c r="AP4" s="194" t="s">
        <v>0</v>
      </c>
      <c r="AQ4" s="194" t="s">
        <v>0</v>
      </c>
      <c r="AR4" s="194" t="s">
        <v>0</v>
      </c>
      <c r="AS4" s="194" t="s">
        <v>0</v>
      </c>
      <c r="AT4" s="194" t="s">
        <v>0</v>
      </c>
      <c r="AU4" s="194" t="s">
        <v>0</v>
      </c>
      <c r="AV4" s="194" t="s">
        <v>0</v>
      </c>
      <c r="AW4" s="194" t="s">
        <v>0</v>
      </c>
      <c r="AX4" s="194" t="s">
        <v>0</v>
      </c>
      <c r="AY4" s="194" t="s">
        <v>0</v>
      </c>
      <c r="AZ4" s="194" t="s">
        <v>0</v>
      </c>
      <c r="BA4" s="194" t="s">
        <v>0</v>
      </c>
      <c r="BB4" s="194" t="s">
        <v>0</v>
      </c>
      <c r="BC4" s="194" t="s">
        <v>0</v>
      </c>
      <c r="BD4" s="194" t="s">
        <v>0</v>
      </c>
      <c r="BE4" s="194" t="s">
        <v>0</v>
      </c>
      <c r="BF4" s="194" t="s">
        <v>0</v>
      </c>
      <c r="BG4" s="194" t="s">
        <v>0</v>
      </c>
      <c r="BH4" s="194" t="s">
        <v>0</v>
      </c>
      <c r="BI4" s="194" t="s">
        <v>0</v>
      </c>
      <c r="BJ4" s="194" t="s">
        <v>0</v>
      </c>
      <c r="BK4" s="194" t="s">
        <v>0</v>
      </c>
      <c r="BL4" s="194" t="s">
        <v>0</v>
      </c>
      <c r="BM4" s="194" t="s">
        <v>0</v>
      </c>
      <c r="BN4" s="194" t="s">
        <v>0</v>
      </c>
      <c r="BO4" s="194" t="s">
        <v>0</v>
      </c>
      <c r="BP4" s="194" t="s">
        <v>0</v>
      </c>
      <c r="BQ4" s="194" t="s">
        <v>0</v>
      </c>
      <c r="BR4" s="194" t="s">
        <v>0</v>
      </c>
      <c r="BS4" s="194" t="s">
        <v>0</v>
      </c>
      <c r="BT4" s="194" t="s">
        <v>0</v>
      </c>
      <c r="BU4" s="194" t="s">
        <v>0</v>
      </c>
      <c r="BV4" s="194" t="s">
        <v>0</v>
      </c>
    </row>
    <row r="5" spans="1:74" ht="15.6">
      <c r="A5" s="189" t="s">
        <v>31</v>
      </c>
      <c r="B5" s="236"/>
      <c r="C5" s="237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O5" s="194" t="s">
        <v>0</v>
      </c>
      <c r="AP5" s="194" t="s">
        <v>0</v>
      </c>
      <c r="AQ5" s="194" t="s">
        <v>0</v>
      </c>
      <c r="AR5" s="194" t="s">
        <v>0</v>
      </c>
      <c r="AS5" s="194" t="s">
        <v>0</v>
      </c>
      <c r="AT5" s="194" t="s">
        <v>0</v>
      </c>
      <c r="AU5" s="194" t="s">
        <v>0</v>
      </c>
      <c r="AV5" s="194" t="s">
        <v>0</v>
      </c>
      <c r="AW5" s="194" t="s">
        <v>0</v>
      </c>
      <c r="AX5" s="194" t="s">
        <v>0</v>
      </c>
      <c r="AY5" s="194" t="s">
        <v>0</v>
      </c>
      <c r="AZ5" s="194" t="s">
        <v>0</v>
      </c>
      <c r="BA5" s="194" t="s">
        <v>0</v>
      </c>
      <c r="BB5" s="194" t="s">
        <v>0</v>
      </c>
      <c r="BC5" s="194" t="s">
        <v>0</v>
      </c>
      <c r="BD5" s="194" t="s">
        <v>0</v>
      </c>
      <c r="BE5" s="194" t="s">
        <v>0</v>
      </c>
      <c r="BF5" s="194" t="s">
        <v>0</v>
      </c>
      <c r="BG5" s="194" t="s">
        <v>0</v>
      </c>
      <c r="BH5" s="194" t="s">
        <v>0</v>
      </c>
      <c r="BI5" s="194" t="s">
        <v>0</v>
      </c>
      <c r="BJ5" s="194" t="s">
        <v>0</v>
      </c>
      <c r="BK5" s="194" t="s">
        <v>0</v>
      </c>
      <c r="BL5" s="194" t="s">
        <v>0</v>
      </c>
      <c r="BM5" s="194" t="s">
        <v>0</v>
      </c>
      <c r="BN5" s="194" t="s">
        <v>0</v>
      </c>
      <c r="BO5" s="194" t="s">
        <v>0</v>
      </c>
      <c r="BP5" s="194" t="s">
        <v>0</v>
      </c>
      <c r="BQ5" s="194" t="s">
        <v>0</v>
      </c>
      <c r="BR5" s="194" t="s">
        <v>0</v>
      </c>
      <c r="BS5" s="194" t="s">
        <v>0</v>
      </c>
      <c r="BT5" s="194" t="s">
        <v>0</v>
      </c>
      <c r="BU5" s="194" t="s">
        <v>0</v>
      </c>
      <c r="BV5" s="194" t="s">
        <v>0</v>
      </c>
    </row>
    <row r="6" spans="1:74">
      <c r="A6" s="238"/>
      <c r="B6" s="239" t="s">
        <v>32</v>
      </c>
      <c r="C6" s="240" t="s">
        <v>58</v>
      </c>
      <c r="D6" s="241">
        <f>IOTable!D7*'Price Table'!$F7</f>
        <v>71811522.927782595</v>
      </c>
      <c r="E6" s="241">
        <f>IOTable!E7*'Price Table'!$F7</f>
        <v>71811522.927782595</v>
      </c>
      <c r="F6" s="241">
        <f>IOTable!F7*'Price Table'!$F7</f>
        <v>71811522.927782595</v>
      </c>
      <c r="G6" s="241">
        <f>IOTable!G7*'Price Table'!$F7</f>
        <v>71811522.927782595</v>
      </c>
      <c r="H6" s="241">
        <f>IOTable!H7*'Price Table'!$F7</f>
        <v>71811522.927782595</v>
      </c>
      <c r="I6" s="241">
        <f>IOTable!I7*'Price Table'!$F7</f>
        <v>71811522.927782595</v>
      </c>
      <c r="J6" s="241">
        <f>IOTable!J7*'Price Table'!$F7</f>
        <v>71811522.927782595</v>
      </c>
      <c r="K6" s="241">
        <f>IOTable!K7*'Price Table'!$F7</f>
        <v>71811522.927782595</v>
      </c>
      <c r="L6" s="241">
        <f>IOTable!L7*'Price Table'!$F7</f>
        <v>71811522.927782595</v>
      </c>
      <c r="M6" s="241">
        <f>IOTable!M7*'Price Table'!$F7</f>
        <v>71811522.927782595</v>
      </c>
      <c r="N6" s="241">
        <f>IOTable!N7*'Price Table'!$F7</f>
        <v>71811522.927782595</v>
      </c>
      <c r="O6" s="241">
        <f>IOTable!O7*'Price Table'!$F7</f>
        <v>71811522.927782595</v>
      </c>
      <c r="P6" s="241">
        <f>IOTable!P7*'Price Table'!$F7</f>
        <v>71811522.927782595</v>
      </c>
      <c r="Q6" s="241">
        <f>IOTable!Q7*'Price Table'!$F7</f>
        <v>71811522.927782595</v>
      </c>
      <c r="R6" s="241">
        <f>IOTable!R7*'Price Table'!$F7</f>
        <v>71811522.927782595</v>
      </c>
      <c r="S6" s="241">
        <f>IOTable!S7*'Price Table'!$F7</f>
        <v>71811522.927782595</v>
      </c>
      <c r="T6" s="241">
        <f>IOTable!T7*'Price Table'!$F7</f>
        <v>71811522.927782595</v>
      </c>
      <c r="U6" s="241">
        <f>IOTable!U7*'Price Table'!$F7</f>
        <v>71811522.927782595</v>
      </c>
      <c r="V6" s="241">
        <f>IOTable!V7*'Price Table'!$F7</f>
        <v>71811522.927782595</v>
      </c>
      <c r="W6" s="241">
        <f>IOTable!W7*'Price Table'!$F7</f>
        <v>71811522.927782595</v>
      </c>
      <c r="X6" s="241">
        <f>IOTable!X7*'Price Table'!$F7</f>
        <v>71811522.927782595</v>
      </c>
      <c r="Y6" s="241">
        <f>IOTable!Y7*'Price Table'!$F7</f>
        <v>71811522.927782595</v>
      </c>
      <c r="Z6" s="241">
        <f>IOTable!Z7*'Price Table'!$F7</f>
        <v>71811522.927782595</v>
      </c>
      <c r="AA6" s="241">
        <f>IOTable!AA7*'Price Table'!$F7</f>
        <v>71811522.927782595</v>
      </c>
      <c r="AB6" s="241">
        <f>IOTable!AB7*'Price Table'!$F7</f>
        <v>71811522.927782595</v>
      </c>
      <c r="AC6" s="241">
        <f>IOTable!AC7*'Price Table'!$F7</f>
        <v>71811522.927782595</v>
      </c>
      <c r="AD6" s="241">
        <f>IOTable!AD7*'Price Table'!$F7</f>
        <v>71811522.927782595</v>
      </c>
      <c r="AE6" s="241">
        <f>IOTable!AE7*'Price Table'!$F7</f>
        <v>71811522.927782595</v>
      </c>
      <c r="AF6" s="241">
        <f>IOTable!AF7*'Price Table'!$F7</f>
        <v>71811522.927782595</v>
      </c>
      <c r="AG6" s="241">
        <f>IOTable!AG7*'Price Table'!$F7</f>
        <v>71811522.927782595</v>
      </c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  <c r="BJ6" s="266"/>
      <c r="BK6" s="266"/>
      <c r="BL6" s="266"/>
      <c r="BM6" s="266"/>
      <c r="BN6" s="266"/>
      <c r="BO6" s="266"/>
      <c r="BP6" s="266"/>
      <c r="BQ6" s="266"/>
      <c r="BR6" s="266"/>
      <c r="BS6" s="266"/>
      <c r="BT6" s="266"/>
      <c r="BU6" s="266"/>
      <c r="BV6" s="266"/>
    </row>
    <row r="7" spans="1:74">
      <c r="A7" s="238"/>
      <c r="B7" s="239" t="s">
        <v>6</v>
      </c>
      <c r="C7" s="240" t="s">
        <v>58</v>
      </c>
      <c r="D7" s="241">
        <f>IOTable!D8*'Price Table'!$F8</f>
        <v>4606113.3172250073</v>
      </c>
      <c r="E7" s="241">
        <f>IOTable!E8*'Price Table'!$F8</f>
        <v>4606113.3172250073</v>
      </c>
      <c r="F7" s="241">
        <f>IOTable!F8*'Price Table'!$F8</f>
        <v>4606113.3172250073</v>
      </c>
      <c r="G7" s="241">
        <f>IOTable!G8*'Price Table'!$F8</f>
        <v>4606113.3172250073</v>
      </c>
      <c r="H7" s="241">
        <f>IOTable!H8*'Price Table'!$F8</f>
        <v>4606113.3172250073</v>
      </c>
      <c r="I7" s="241">
        <f>IOTable!I8*'Price Table'!$F8</f>
        <v>4606113.3172250073</v>
      </c>
      <c r="J7" s="241">
        <f>IOTable!J8*'Price Table'!$F8</f>
        <v>4606113.3172250073</v>
      </c>
      <c r="K7" s="241">
        <f>IOTable!K8*'Price Table'!$F8</f>
        <v>4606113.3172250073</v>
      </c>
      <c r="L7" s="241">
        <f>IOTable!L8*'Price Table'!$F8</f>
        <v>4606113.3172250073</v>
      </c>
      <c r="M7" s="241">
        <f>IOTable!M8*'Price Table'!$F8</f>
        <v>4606113.3172250073</v>
      </c>
      <c r="N7" s="241">
        <f>IOTable!N8*'Price Table'!$F8</f>
        <v>4606113.3172250073</v>
      </c>
      <c r="O7" s="241">
        <f>IOTable!O8*'Price Table'!$F8</f>
        <v>4606113.3172250073</v>
      </c>
      <c r="P7" s="241">
        <f>IOTable!P8*'Price Table'!$F8</f>
        <v>4606113.3172250073</v>
      </c>
      <c r="Q7" s="241">
        <f>IOTable!Q8*'Price Table'!$F8</f>
        <v>4606113.3172250073</v>
      </c>
      <c r="R7" s="241">
        <f>IOTable!R8*'Price Table'!$F8</f>
        <v>4606113.3172250073</v>
      </c>
      <c r="S7" s="241">
        <f>IOTable!S8*'Price Table'!$F8</f>
        <v>4606113.3172250073</v>
      </c>
      <c r="T7" s="241">
        <f>IOTable!T8*'Price Table'!$F8</f>
        <v>4606113.3172250073</v>
      </c>
      <c r="U7" s="241">
        <f>IOTable!U8*'Price Table'!$F8</f>
        <v>4606113.3172250073</v>
      </c>
      <c r="V7" s="241">
        <f>IOTable!V8*'Price Table'!$F8</f>
        <v>4606113.3172250073</v>
      </c>
      <c r="W7" s="241">
        <f>IOTable!W8*'Price Table'!$F8</f>
        <v>4606113.3172250073</v>
      </c>
      <c r="X7" s="241">
        <f>IOTable!X8*'Price Table'!$F8</f>
        <v>4606113.3172250073</v>
      </c>
      <c r="Y7" s="241">
        <f>IOTable!Y8*'Price Table'!$F8</f>
        <v>4606113.3172250073</v>
      </c>
      <c r="Z7" s="241">
        <f>IOTable!Z8*'Price Table'!$F8</f>
        <v>4606113.3172250073</v>
      </c>
      <c r="AA7" s="241">
        <f>IOTable!AA8*'Price Table'!$F8</f>
        <v>4606113.3172250073</v>
      </c>
      <c r="AB7" s="241">
        <f>IOTable!AB8*'Price Table'!$F8</f>
        <v>4606113.3172250073</v>
      </c>
      <c r="AC7" s="241">
        <f>IOTable!AC8*'Price Table'!$F8</f>
        <v>4606113.3172250073</v>
      </c>
      <c r="AD7" s="241">
        <f>IOTable!AD8*'Price Table'!$F8</f>
        <v>4606113.3172250073</v>
      </c>
      <c r="AE7" s="241">
        <f>IOTable!AE8*'Price Table'!$F8</f>
        <v>4606113.3172250073</v>
      </c>
      <c r="AF7" s="241">
        <f>IOTable!AF8*'Price Table'!$F8</f>
        <v>4606113.3172250073</v>
      </c>
      <c r="AG7" s="241">
        <f>IOTable!AG8*'Price Table'!$F8</f>
        <v>4606113.3172250073</v>
      </c>
    </row>
    <row r="8" spans="1:74">
      <c r="A8" s="238"/>
      <c r="B8" s="239" t="s">
        <v>7</v>
      </c>
      <c r="C8" s="240" t="s">
        <v>58</v>
      </c>
      <c r="D8" s="241">
        <f>IOTable!D9*'Price Table'!$F9</f>
        <v>805663.90471275477</v>
      </c>
      <c r="E8" s="241">
        <f>IOTable!E9*'Price Table'!$F9</f>
        <v>805663.90471275477</v>
      </c>
      <c r="F8" s="241">
        <f>IOTable!F9*'Price Table'!$F9</f>
        <v>805663.90471275477</v>
      </c>
      <c r="G8" s="241">
        <f>IOTable!G9*'Price Table'!$F9</f>
        <v>805663.90471275477</v>
      </c>
      <c r="H8" s="241">
        <f>IOTable!H9*'Price Table'!$F9</f>
        <v>805663.90471275477</v>
      </c>
      <c r="I8" s="241">
        <f>IOTable!I9*'Price Table'!$F9</f>
        <v>805663.90471275477</v>
      </c>
      <c r="J8" s="241">
        <f>IOTable!J9*'Price Table'!$F9</f>
        <v>805663.90471275477</v>
      </c>
      <c r="K8" s="241">
        <f>IOTable!K9*'Price Table'!$F9</f>
        <v>805663.90471275477</v>
      </c>
      <c r="L8" s="241">
        <f>IOTable!L9*'Price Table'!$F9</f>
        <v>805663.90471275477</v>
      </c>
      <c r="M8" s="241">
        <f>IOTable!M9*'Price Table'!$F9</f>
        <v>805663.90471275477</v>
      </c>
      <c r="N8" s="241">
        <f>IOTable!N9*'Price Table'!$F9</f>
        <v>805663.90471275477</v>
      </c>
      <c r="O8" s="241">
        <f>IOTable!O9*'Price Table'!$F9</f>
        <v>805663.90471275477</v>
      </c>
      <c r="P8" s="241">
        <f>IOTable!P9*'Price Table'!$F9</f>
        <v>805663.90471275477</v>
      </c>
      <c r="Q8" s="241">
        <f>IOTable!Q9*'Price Table'!$F9</f>
        <v>805663.90471275477</v>
      </c>
      <c r="R8" s="241">
        <f>IOTable!R9*'Price Table'!$F9</f>
        <v>805663.90471275477</v>
      </c>
      <c r="S8" s="241">
        <f>IOTable!S9*'Price Table'!$F9</f>
        <v>805663.90471275477</v>
      </c>
      <c r="T8" s="241">
        <f>IOTable!T9*'Price Table'!$F9</f>
        <v>805663.90471275477</v>
      </c>
      <c r="U8" s="241">
        <f>IOTable!U9*'Price Table'!$F9</f>
        <v>805663.90471275477</v>
      </c>
      <c r="V8" s="241">
        <f>IOTable!V9*'Price Table'!$F9</f>
        <v>805663.90471275477</v>
      </c>
      <c r="W8" s="241">
        <f>IOTable!W9*'Price Table'!$F9</f>
        <v>805663.90471275477</v>
      </c>
      <c r="X8" s="241">
        <f>IOTable!X9*'Price Table'!$F9</f>
        <v>805663.90471275477</v>
      </c>
      <c r="Y8" s="241">
        <f>IOTable!Y9*'Price Table'!$F9</f>
        <v>805663.90471275477</v>
      </c>
      <c r="Z8" s="241">
        <f>IOTable!Z9*'Price Table'!$F9</f>
        <v>805663.90471275477</v>
      </c>
      <c r="AA8" s="241">
        <f>IOTable!AA9*'Price Table'!$F9</f>
        <v>805663.90471275477</v>
      </c>
      <c r="AB8" s="241">
        <f>IOTable!AB9*'Price Table'!$F9</f>
        <v>805663.90471275477</v>
      </c>
      <c r="AC8" s="241">
        <f>IOTable!AC9*'Price Table'!$F9</f>
        <v>805663.90471275477</v>
      </c>
      <c r="AD8" s="241">
        <f>IOTable!AD9*'Price Table'!$F9</f>
        <v>805663.90471275477</v>
      </c>
      <c r="AE8" s="241">
        <f>IOTable!AE9*'Price Table'!$F9</f>
        <v>805663.90471275477</v>
      </c>
      <c r="AF8" s="241">
        <f>IOTable!AF9*'Price Table'!$F9</f>
        <v>805663.90471275477</v>
      </c>
      <c r="AG8" s="241">
        <f>IOTable!AG9*'Price Table'!$F9</f>
        <v>805663.90471275477</v>
      </c>
    </row>
    <row r="9" spans="1:74">
      <c r="A9" s="238"/>
      <c r="B9" s="239" t="s">
        <v>33</v>
      </c>
      <c r="C9" s="240" t="s">
        <v>58</v>
      </c>
      <c r="D9" s="241">
        <f>IOTable!D10*'Price Table'!$F10</f>
        <v>712145905</v>
      </c>
      <c r="E9" s="241">
        <f>IOTable!E10*'Price Table'!$F10</f>
        <v>712145905</v>
      </c>
      <c r="F9" s="241">
        <f>IOTable!F10*'Price Table'!$F10</f>
        <v>712145905</v>
      </c>
      <c r="G9" s="241">
        <f>IOTable!G10*'Price Table'!$F10</f>
        <v>712145905</v>
      </c>
      <c r="H9" s="241">
        <f>IOTable!H10*'Price Table'!$F10</f>
        <v>712145905</v>
      </c>
      <c r="I9" s="241">
        <f>IOTable!I10*'Price Table'!$F10</f>
        <v>712145905</v>
      </c>
      <c r="J9" s="241">
        <f>IOTable!J10*'Price Table'!$F10</f>
        <v>712145905</v>
      </c>
      <c r="K9" s="241">
        <f>IOTable!K10*'Price Table'!$F10</f>
        <v>712145905</v>
      </c>
      <c r="L9" s="241">
        <f>IOTable!L10*'Price Table'!$F10</f>
        <v>712145905</v>
      </c>
      <c r="M9" s="241">
        <f>IOTable!M10*'Price Table'!$F10</f>
        <v>712145905</v>
      </c>
      <c r="N9" s="241">
        <f>IOTable!N10*'Price Table'!$F10</f>
        <v>712145905</v>
      </c>
      <c r="O9" s="241">
        <f>IOTable!O10*'Price Table'!$F10</f>
        <v>712145905</v>
      </c>
      <c r="P9" s="241">
        <f>IOTable!P10*'Price Table'!$F10</f>
        <v>712145905</v>
      </c>
      <c r="Q9" s="241">
        <f>IOTable!Q10*'Price Table'!$F10</f>
        <v>712145905</v>
      </c>
      <c r="R9" s="241">
        <f>IOTable!R10*'Price Table'!$F10</f>
        <v>712145905</v>
      </c>
      <c r="S9" s="241">
        <f>IOTable!S10*'Price Table'!$F10</f>
        <v>712145905</v>
      </c>
      <c r="T9" s="241">
        <f>IOTable!T10*'Price Table'!$F10</f>
        <v>712145905</v>
      </c>
      <c r="U9" s="241">
        <f>IOTable!U10*'Price Table'!$F10</f>
        <v>712145905</v>
      </c>
      <c r="V9" s="241">
        <f>IOTable!V10*'Price Table'!$F10</f>
        <v>712145905</v>
      </c>
      <c r="W9" s="241">
        <f>IOTable!W10*'Price Table'!$F10</f>
        <v>712145905</v>
      </c>
      <c r="X9" s="241">
        <f>IOTable!X10*'Price Table'!$F10</f>
        <v>712145905</v>
      </c>
      <c r="Y9" s="241">
        <f>IOTable!Y10*'Price Table'!$F10</f>
        <v>712145905</v>
      </c>
      <c r="Z9" s="241">
        <f>IOTable!Z10*'Price Table'!$F10</f>
        <v>712145905</v>
      </c>
      <c r="AA9" s="241">
        <f>IOTable!AA10*'Price Table'!$F10</f>
        <v>712145905</v>
      </c>
      <c r="AB9" s="241">
        <f>IOTable!AB10*'Price Table'!$F10</f>
        <v>712145905</v>
      </c>
      <c r="AC9" s="241">
        <f>IOTable!AC10*'Price Table'!$F10</f>
        <v>712145905</v>
      </c>
      <c r="AD9" s="241">
        <f>IOTable!AD10*'Price Table'!$F10</f>
        <v>712145905</v>
      </c>
      <c r="AE9" s="241">
        <f>IOTable!AE10*'Price Table'!$F10</f>
        <v>712145905</v>
      </c>
      <c r="AF9" s="241">
        <f>IOTable!AF10*'Price Table'!$F10</f>
        <v>712145905</v>
      </c>
      <c r="AG9" s="241">
        <f>IOTable!AG10*'Price Table'!$F10</f>
        <v>712145905</v>
      </c>
    </row>
    <row r="10" spans="1:74">
      <c r="A10" s="238"/>
      <c r="B10" s="239" t="s">
        <v>3</v>
      </c>
      <c r="C10" s="240" t="s">
        <v>58</v>
      </c>
      <c r="D10" s="241">
        <f>IOTable!D11*'Price Table'!$F11</f>
        <v>36940258</v>
      </c>
      <c r="E10" s="241">
        <f>IOTable!E11*'Price Table'!$F11</f>
        <v>36940258</v>
      </c>
      <c r="F10" s="241">
        <f>IOTable!F11*'Price Table'!$F11</f>
        <v>36940258</v>
      </c>
      <c r="G10" s="241">
        <f>IOTable!G11*'Price Table'!$F11</f>
        <v>36940258</v>
      </c>
      <c r="H10" s="241">
        <f>IOTable!H11*'Price Table'!$F11</f>
        <v>36940258</v>
      </c>
      <c r="I10" s="241">
        <f>IOTable!I11*'Price Table'!$F11</f>
        <v>36940258</v>
      </c>
      <c r="J10" s="241">
        <f>IOTable!J11*'Price Table'!$F11</f>
        <v>36940258</v>
      </c>
      <c r="K10" s="241">
        <f>IOTable!K11*'Price Table'!$F11</f>
        <v>36940258</v>
      </c>
      <c r="L10" s="241">
        <f>IOTable!L11*'Price Table'!$F11</f>
        <v>36940258</v>
      </c>
      <c r="M10" s="241">
        <f>IOTable!M11*'Price Table'!$F11</f>
        <v>36940258</v>
      </c>
      <c r="N10" s="241">
        <f>IOTable!N11*'Price Table'!$F11</f>
        <v>36940258</v>
      </c>
      <c r="O10" s="241">
        <f>IOTable!O11*'Price Table'!$F11</f>
        <v>36940258</v>
      </c>
      <c r="P10" s="241">
        <f>IOTable!P11*'Price Table'!$F11</f>
        <v>36940258</v>
      </c>
      <c r="Q10" s="241">
        <f>IOTable!Q11*'Price Table'!$F11</f>
        <v>36940258</v>
      </c>
      <c r="R10" s="241">
        <f>IOTable!R11*'Price Table'!$F11</f>
        <v>36940258</v>
      </c>
      <c r="S10" s="241">
        <f>IOTable!S11*'Price Table'!$F11</f>
        <v>36940258</v>
      </c>
      <c r="T10" s="241">
        <f>IOTable!T11*'Price Table'!$F11</f>
        <v>36940258</v>
      </c>
      <c r="U10" s="241">
        <f>IOTable!U11*'Price Table'!$F11</f>
        <v>36940258</v>
      </c>
      <c r="V10" s="241">
        <f>IOTable!V11*'Price Table'!$F11</f>
        <v>36940258</v>
      </c>
      <c r="W10" s="241">
        <f>IOTable!W11*'Price Table'!$F11</f>
        <v>36940258</v>
      </c>
      <c r="X10" s="241">
        <f>IOTable!X11*'Price Table'!$F11</f>
        <v>36940258</v>
      </c>
      <c r="Y10" s="241">
        <f>IOTable!Y11*'Price Table'!$F11</f>
        <v>36940258</v>
      </c>
      <c r="Z10" s="241">
        <f>IOTable!Z11*'Price Table'!$F11</f>
        <v>36940258</v>
      </c>
      <c r="AA10" s="241">
        <f>IOTable!AA11*'Price Table'!$F11</f>
        <v>36940258</v>
      </c>
      <c r="AB10" s="241">
        <f>IOTable!AB11*'Price Table'!$F11</f>
        <v>36940258</v>
      </c>
      <c r="AC10" s="241">
        <f>IOTable!AC11*'Price Table'!$F11</f>
        <v>73880516</v>
      </c>
      <c r="AD10" s="241">
        <f>IOTable!AD11*'Price Table'!$F11</f>
        <v>110820774</v>
      </c>
      <c r="AE10" s="241">
        <f>IOTable!AE11*'Price Table'!$F11</f>
        <v>147761032</v>
      </c>
      <c r="AF10" s="241">
        <f>IOTable!AF11*'Price Table'!$F11</f>
        <v>184701290</v>
      </c>
      <c r="AG10" s="241">
        <f>IOTable!AG11*'Price Table'!$F11</f>
        <v>221641548</v>
      </c>
    </row>
    <row r="11" spans="1:74">
      <c r="A11" s="238"/>
      <c r="B11" s="267"/>
      <c r="C11" s="240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</row>
    <row r="12" spans="1:74" ht="15.6">
      <c r="A12" s="189" t="s">
        <v>35</v>
      </c>
      <c r="B12" s="244"/>
      <c r="C12" s="237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</row>
    <row r="13" spans="1:74">
      <c r="A13" s="268"/>
      <c r="B13" s="269" t="s">
        <v>4</v>
      </c>
      <c r="C13" s="240" t="s">
        <v>58</v>
      </c>
      <c r="D13" s="241">
        <f>IOTable!D14*'Price Table'!$F14</f>
        <v>118075462656.89375</v>
      </c>
      <c r="E13" s="241">
        <f>IOTable!E14*'Price Table'!$F14</f>
        <v>0</v>
      </c>
      <c r="F13" s="241">
        <f>IOTable!F14*'Price Table'!$F14</f>
        <v>0</v>
      </c>
      <c r="G13" s="241">
        <f>IOTable!G14*'Price Table'!$F14</f>
        <v>0</v>
      </c>
      <c r="H13" s="241">
        <f>IOTable!H14*'Price Table'!$F14</f>
        <v>0</v>
      </c>
      <c r="I13" s="241">
        <f>IOTable!I14*'Price Table'!$F14</f>
        <v>0</v>
      </c>
      <c r="J13" s="241">
        <f>IOTable!J14*'Price Table'!$F14</f>
        <v>0</v>
      </c>
      <c r="K13" s="241">
        <f>IOTable!K14*'Price Table'!$F14</f>
        <v>0</v>
      </c>
      <c r="L13" s="241">
        <f>IOTable!L14*'Price Table'!$F14</f>
        <v>0</v>
      </c>
      <c r="M13" s="241">
        <f>IOTable!M14*'Price Table'!$F14</f>
        <v>0</v>
      </c>
      <c r="N13" s="241">
        <f>IOTable!N14*'Price Table'!$F14</f>
        <v>118075462656.89375</v>
      </c>
      <c r="O13" s="241">
        <f>IOTable!O14*'Price Table'!$F14</f>
        <v>0</v>
      </c>
      <c r="P13" s="241">
        <f>IOTable!P14*'Price Table'!$F14</f>
        <v>0</v>
      </c>
      <c r="Q13" s="241">
        <f>IOTable!Q14*'Price Table'!$F14</f>
        <v>0</v>
      </c>
      <c r="R13" s="241">
        <f>IOTable!R14*'Price Table'!$F14</f>
        <v>0</v>
      </c>
      <c r="S13" s="241">
        <f>IOTable!S14*'Price Table'!$F14</f>
        <v>0</v>
      </c>
      <c r="T13" s="241">
        <f>IOTable!T14*'Price Table'!$F14</f>
        <v>0</v>
      </c>
      <c r="U13" s="241">
        <f>IOTable!U14*'Price Table'!$F14</f>
        <v>0</v>
      </c>
      <c r="V13" s="241">
        <f>IOTable!V14*'Price Table'!$F14</f>
        <v>0</v>
      </c>
      <c r="W13" s="241">
        <f>IOTable!W14*'Price Table'!$F14</f>
        <v>0</v>
      </c>
      <c r="X13" s="241">
        <f>IOTable!X14*'Price Table'!$F14</f>
        <v>0</v>
      </c>
      <c r="Y13" s="241">
        <f>IOTable!Y14*'Price Table'!$F14</f>
        <v>118075462656.89375</v>
      </c>
      <c r="Z13" s="241">
        <f>IOTable!Z14*'Price Table'!$F14</f>
        <v>0</v>
      </c>
      <c r="AA13" s="241">
        <f>IOTable!AA14*'Price Table'!$F14</f>
        <v>0</v>
      </c>
      <c r="AB13" s="241">
        <f>IOTable!AB14*'Price Table'!$F14</f>
        <v>0</v>
      </c>
      <c r="AC13" s="241">
        <f>IOTable!AC14*'Price Table'!$F14</f>
        <v>0</v>
      </c>
      <c r="AD13" s="241">
        <f>IOTable!AD14*'Price Table'!$F14</f>
        <v>0</v>
      </c>
      <c r="AE13" s="241">
        <f>IOTable!AE14*'Price Table'!$F14</f>
        <v>0</v>
      </c>
      <c r="AF13" s="241">
        <f>IOTable!AF14*'Price Table'!$F14</f>
        <v>0</v>
      </c>
      <c r="AG13" s="241">
        <f>IOTable!AG14*'Price Table'!$F14</f>
        <v>0</v>
      </c>
    </row>
    <row r="14" spans="1:74">
      <c r="A14" s="268"/>
      <c r="B14" s="269" t="s">
        <v>5</v>
      </c>
      <c r="C14" s="240" t="s">
        <v>58</v>
      </c>
      <c r="D14" s="241">
        <f>IOTable!D15*'Price Table'!$F15</f>
        <v>1354797719.1500001</v>
      </c>
      <c r="E14" s="241">
        <f>IOTable!E15*'Price Table'!$F15</f>
        <v>0</v>
      </c>
      <c r="F14" s="241">
        <f>IOTable!F15*'Price Table'!$F15</f>
        <v>0</v>
      </c>
      <c r="G14" s="241">
        <f>IOTable!G15*'Price Table'!$F15</f>
        <v>0</v>
      </c>
      <c r="H14" s="241">
        <f>IOTable!H15*'Price Table'!$F15</f>
        <v>0</v>
      </c>
      <c r="I14" s="241">
        <f>IOTable!I15*'Price Table'!$F15</f>
        <v>1354797719.1500001</v>
      </c>
      <c r="J14" s="241">
        <f>IOTable!J15*'Price Table'!$F15</f>
        <v>0</v>
      </c>
      <c r="K14" s="241">
        <f>IOTable!K15*'Price Table'!$F15</f>
        <v>0</v>
      </c>
      <c r="L14" s="241">
        <f>IOTable!L15*'Price Table'!$F15</f>
        <v>0</v>
      </c>
      <c r="M14" s="241">
        <f>IOTable!M15*'Price Table'!$F15</f>
        <v>0</v>
      </c>
      <c r="N14" s="241">
        <f>IOTable!N15*'Price Table'!$F15</f>
        <v>1354797719.1500001</v>
      </c>
      <c r="O14" s="241">
        <f>IOTable!O15*'Price Table'!$F15</f>
        <v>0</v>
      </c>
      <c r="P14" s="241">
        <f>IOTable!P15*'Price Table'!$F15</f>
        <v>0</v>
      </c>
      <c r="Q14" s="241">
        <f>IOTable!Q15*'Price Table'!$F15</f>
        <v>0</v>
      </c>
      <c r="R14" s="241">
        <f>IOTable!R15*'Price Table'!$F15</f>
        <v>0</v>
      </c>
      <c r="S14" s="241">
        <f>IOTable!S15*'Price Table'!$F15</f>
        <v>1354797719.1500001</v>
      </c>
      <c r="T14" s="241">
        <f>IOTable!T15*'Price Table'!$F15</f>
        <v>0</v>
      </c>
      <c r="U14" s="241">
        <f>IOTable!U15*'Price Table'!$F15</f>
        <v>0</v>
      </c>
      <c r="V14" s="241">
        <f>IOTable!V15*'Price Table'!$F15</f>
        <v>0</v>
      </c>
      <c r="W14" s="241">
        <f>IOTable!W15*'Price Table'!$F15</f>
        <v>0</v>
      </c>
      <c r="X14" s="241">
        <f>IOTable!X15*'Price Table'!$F15</f>
        <v>0</v>
      </c>
      <c r="Y14" s="241">
        <f>IOTable!Y15*'Price Table'!$F15</f>
        <v>1354797719.1500001</v>
      </c>
      <c r="Z14" s="241">
        <f>IOTable!Z15*'Price Table'!$F15</f>
        <v>0</v>
      </c>
      <c r="AA14" s="241">
        <f>IOTable!AA15*'Price Table'!$F15</f>
        <v>0</v>
      </c>
      <c r="AB14" s="241">
        <f>IOTable!AB15*'Price Table'!$F15</f>
        <v>0</v>
      </c>
      <c r="AC14" s="241">
        <f>IOTable!AC15*'Price Table'!$F15</f>
        <v>0</v>
      </c>
      <c r="AD14" s="241">
        <f>IOTable!AD15*'Price Table'!$F15</f>
        <v>0</v>
      </c>
      <c r="AE14" s="241">
        <f>IOTable!AE15*'Price Table'!$F15</f>
        <v>0</v>
      </c>
      <c r="AF14" s="241">
        <f>IOTable!AF15*'Price Table'!$F15</f>
        <v>0</v>
      </c>
      <c r="AG14" s="241">
        <f>IOTable!AG15*'Price Table'!$F15</f>
        <v>0</v>
      </c>
    </row>
    <row r="15" spans="1:74">
      <c r="A15" s="238"/>
      <c r="B15" s="239"/>
      <c r="C15" s="240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241"/>
      <c r="Z15" s="241"/>
      <c r="AA15" s="241"/>
      <c r="AB15" s="241"/>
      <c r="AC15" s="241"/>
      <c r="AD15" s="241"/>
      <c r="AE15" s="241"/>
      <c r="AF15" s="241"/>
      <c r="AG15" s="241"/>
    </row>
    <row r="16" spans="1:74" ht="18">
      <c r="A16" s="207" t="s">
        <v>38</v>
      </c>
      <c r="B16" s="246"/>
      <c r="C16" s="237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</row>
    <row r="17" spans="1:33" ht="15.6">
      <c r="A17" s="189" t="s">
        <v>39</v>
      </c>
      <c r="B17" s="179"/>
      <c r="C17" s="237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</row>
    <row r="18" spans="1:33">
      <c r="A18" s="238"/>
      <c r="B18" s="247" t="s">
        <v>40</v>
      </c>
      <c r="C18" s="240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</row>
    <row r="19" spans="1:33">
      <c r="A19" s="238"/>
      <c r="B19" s="248" t="s">
        <v>79</v>
      </c>
      <c r="C19" s="240" t="s">
        <v>58</v>
      </c>
      <c r="D19" s="241">
        <f>IOTable!D20*'Price Table'!$F20</f>
        <v>11880000000</v>
      </c>
      <c r="E19" s="241">
        <f>IOTable!E20*'Price Table'!$F20</f>
        <v>11880000000</v>
      </c>
      <c r="F19" s="241">
        <f>IOTable!F20*'Price Table'!$F20</f>
        <v>11880000000</v>
      </c>
      <c r="G19" s="241">
        <f>IOTable!G20*'Price Table'!$F20</f>
        <v>11880000000</v>
      </c>
      <c r="H19" s="241">
        <f>IOTable!H20*'Price Table'!$F20</f>
        <v>11880000000</v>
      </c>
      <c r="I19" s="241">
        <f>IOTable!I20*'Price Table'!$F20</f>
        <v>11880000000</v>
      </c>
      <c r="J19" s="241">
        <f>IOTable!J20*'Price Table'!$F20</f>
        <v>11880000000</v>
      </c>
      <c r="K19" s="241">
        <f>IOTable!K20*'Price Table'!$F20</f>
        <v>11880000000</v>
      </c>
      <c r="L19" s="241">
        <f>IOTable!L20*'Price Table'!$F20</f>
        <v>11880000000</v>
      </c>
      <c r="M19" s="241">
        <f>IOTable!M20*'Price Table'!$F20</f>
        <v>11880000000</v>
      </c>
      <c r="N19" s="241">
        <f>IOTable!N20*'Price Table'!$F20</f>
        <v>11880000000</v>
      </c>
      <c r="O19" s="241">
        <f>IOTable!O20*'Price Table'!$F20</f>
        <v>11880000000</v>
      </c>
      <c r="P19" s="241">
        <f>IOTable!P20*'Price Table'!$F20</f>
        <v>11880000000</v>
      </c>
      <c r="Q19" s="241">
        <f>IOTable!Q20*'Price Table'!$F20</f>
        <v>11880000000</v>
      </c>
      <c r="R19" s="241">
        <f>IOTable!R20*'Price Table'!$F20</f>
        <v>11880000000</v>
      </c>
      <c r="S19" s="241">
        <f>IOTable!S20*'Price Table'!$F20</f>
        <v>11880000000</v>
      </c>
      <c r="T19" s="241">
        <f>IOTable!T20*'Price Table'!$F20</f>
        <v>11880000000</v>
      </c>
      <c r="U19" s="241">
        <f>IOTable!U20*'Price Table'!$F20</f>
        <v>11880000000</v>
      </c>
      <c r="V19" s="241">
        <f>IOTable!V20*'Price Table'!$F20</f>
        <v>11880000000</v>
      </c>
      <c r="W19" s="241">
        <f>IOTable!W20*'Price Table'!$F20</f>
        <v>11880000000</v>
      </c>
      <c r="X19" s="241">
        <f>IOTable!X20*'Price Table'!$F20</f>
        <v>11880000000</v>
      </c>
      <c r="Y19" s="241">
        <f>IOTable!Y20*'Price Table'!$F20</f>
        <v>11880000000</v>
      </c>
      <c r="Z19" s="241">
        <f>IOTable!Z20*'Price Table'!$F20</f>
        <v>11880000000</v>
      </c>
      <c r="AA19" s="241">
        <f>IOTable!AA20*'Price Table'!$F20</f>
        <v>11880000000</v>
      </c>
      <c r="AB19" s="241">
        <f>IOTable!AB20*'Price Table'!$F20</f>
        <v>11880000000</v>
      </c>
      <c r="AC19" s="241">
        <f>IOTable!AC20*'Price Table'!$F20</f>
        <v>11880000000</v>
      </c>
      <c r="AD19" s="241">
        <f>IOTable!AD20*'Price Table'!$F20</f>
        <v>11880000000</v>
      </c>
      <c r="AE19" s="241">
        <f>IOTable!AE20*'Price Table'!$F20</f>
        <v>11880000000</v>
      </c>
      <c r="AF19" s="241">
        <f>IOTable!AF20*'Price Table'!$F20</f>
        <v>11880000000</v>
      </c>
      <c r="AG19" s="241">
        <f>IOTable!AG20*'Price Table'!$F20</f>
        <v>11880000000</v>
      </c>
    </row>
    <row r="20" spans="1:33">
      <c r="A20" s="238"/>
      <c r="B20" s="248" t="s">
        <v>41</v>
      </c>
      <c r="C20" s="240" t="s">
        <v>58</v>
      </c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241"/>
      <c r="Z20" s="241"/>
      <c r="AA20" s="241"/>
      <c r="AB20" s="241"/>
      <c r="AC20" s="241"/>
      <c r="AD20" s="241"/>
      <c r="AE20" s="241"/>
      <c r="AF20" s="241"/>
      <c r="AG20" s="241"/>
    </row>
    <row r="21" spans="1:33">
      <c r="A21" s="238"/>
      <c r="B21" s="146" t="s">
        <v>8</v>
      </c>
      <c r="C21" s="240" t="s">
        <v>58</v>
      </c>
      <c r="D21" s="241">
        <f>IOTable!D22*'Price Table'!$F22</f>
        <v>1188535541.9208014</v>
      </c>
      <c r="E21" s="241">
        <f>IOTable!E22*'Price Table'!$F22</f>
        <v>1188535541.9208014</v>
      </c>
      <c r="F21" s="241">
        <f>IOTable!F22*'Price Table'!$F22</f>
        <v>1188535541.9208014</v>
      </c>
      <c r="G21" s="241">
        <f>IOTable!G22*'Price Table'!$F22</f>
        <v>1188535541.9208014</v>
      </c>
      <c r="H21" s="241">
        <f>IOTable!H22*'Price Table'!$F22</f>
        <v>1188535541.9208014</v>
      </c>
      <c r="I21" s="241">
        <f>IOTable!I22*'Price Table'!$F22</f>
        <v>1188535541.9208014</v>
      </c>
      <c r="J21" s="241">
        <f>IOTable!J22*'Price Table'!$F22</f>
        <v>1188535541.9208014</v>
      </c>
      <c r="K21" s="241">
        <f>IOTable!K22*'Price Table'!$F22</f>
        <v>1188535541.9208014</v>
      </c>
      <c r="L21" s="241">
        <f>IOTable!L22*'Price Table'!$F22</f>
        <v>1188535541.9208014</v>
      </c>
      <c r="M21" s="241">
        <f>IOTable!M22*'Price Table'!$F22</f>
        <v>1188535541.9208014</v>
      </c>
      <c r="N21" s="241">
        <f>IOTable!N22*'Price Table'!$F22</f>
        <v>1188535541.9208014</v>
      </c>
      <c r="O21" s="241">
        <f>IOTable!O22*'Price Table'!$F22</f>
        <v>1188535541.9208014</v>
      </c>
      <c r="P21" s="241">
        <f>IOTable!P22*'Price Table'!$F22</f>
        <v>1188535541.9208014</v>
      </c>
      <c r="Q21" s="241">
        <f>IOTable!Q22*'Price Table'!$F22</f>
        <v>1188535541.9208014</v>
      </c>
      <c r="R21" s="241">
        <f>IOTable!R22*'Price Table'!$F22</f>
        <v>1188535541.9208014</v>
      </c>
      <c r="S21" s="241">
        <f>IOTable!S22*'Price Table'!$F22</f>
        <v>1188535541.9208014</v>
      </c>
      <c r="T21" s="241">
        <f>IOTable!T22*'Price Table'!$F22</f>
        <v>1188535541.9208014</v>
      </c>
      <c r="U21" s="241">
        <f>IOTable!U22*'Price Table'!$F22</f>
        <v>1188535541.9208014</v>
      </c>
      <c r="V21" s="241">
        <f>IOTable!V22*'Price Table'!$F22</f>
        <v>1188535541.9208014</v>
      </c>
      <c r="W21" s="241">
        <f>IOTable!W22*'Price Table'!$F22</f>
        <v>1188535541.9208014</v>
      </c>
      <c r="X21" s="241">
        <f>IOTable!X22*'Price Table'!$F22</f>
        <v>1188535541.9208014</v>
      </c>
      <c r="Y21" s="241">
        <f>IOTable!Y22*'Price Table'!$F22</f>
        <v>1188535541.9208014</v>
      </c>
      <c r="Z21" s="241">
        <f>IOTable!Z22*'Price Table'!$F22</f>
        <v>1188535541.9208014</v>
      </c>
      <c r="AA21" s="241">
        <f>IOTable!AA22*'Price Table'!$F22</f>
        <v>1188535541.9208014</v>
      </c>
      <c r="AB21" s="241">
        <f>IOTable!AB22*'Price Table'!$F22</f>
        <v>1188535541.9208014</v>
      </c>
      <c r="AC21" s="241">
        <f>IOTable!AC22*'Price Table'!$F22</f>
        <v>1188535541.9208014</v>
      </c>
      <c r="AD21" s="241">
        <f>IOTable!AD22*'Price Table'!$F22</f>
        <v>1188535541.9208014</v>
      </c>
      <c r="AE21" s="241">
        <f>IOTable!AE22*'Price Table'!$F22</f>
        <v>1188535541.9208014</v>
      </c>
      <c r="AF21" s="241">
        <f>IOTable!AF22*'Price Table'!$F22</f>
        <v>1188535541.9208014</v>
      </c>
      <c r="AG21" s="241">
        <f>IOTable!AG22*'Price Table'!$F22</f>
        <v>1188535541.9208014</v>
      </c>
    </row>
    <row r="22" spans="1:33">
      <c r="A22" s="238"/>
      <c r="B22" s="146" t="s">
        <v>439</v>
      </c>
      <c r="C22" s="240" t="s">
        <v>58</v>
      </c>
      <c r="D22" s="241">
        <f>IOTable!D23*'Price Table'!$F23</f>
        <v>381294147.10500008</v>
      </c>
      <c r="E22" s="241">
        <f>IOTable!E23*'Price Table'!$F23</f>
        <v>381294147.10500008</v>
      </c>
      <c r="F22" s="241">
        <f>IOTable!F23*'Price Table'!$F23</f>
        <v>381294147.10500008</v>
      </c>
      <c r="G22" s="241">
        <f>IOTable!G23*'Price Table'!$F23</f>
        <v>381294147.10500008</v>
      </c>
      <c r="H22" s="241">
        <f>IOTable!H23*'Price Table'!$F23</f>
        <v>381294147.10500008</v>
      </c>
      <c r="I22" s="241">
        <f>IOTable!I23*'Price Table'!$F23</f>
        <v>381294147.10500008</v>
      </c>
      <c r="J22" s="241">
        <f>IOTable!J23*'Price Table'!$F23</f>
        <v>381294147.10500008</v>
      </c>
      <c r="K22" s="241">
        <f>IOTable!K23*'Price Table'!$F23</f>
        <v>381294147.10500008</v>
      </c>
      <c r="L22" s="241">
        <f>IOTable!L23*'Price Table'!$F23</f>
        <v>381294147.10500008</v>
      </c>
      <c r="M22" s="241">
        <f>IOTable!M23*'Price Table'!$F23</f>
        <v>381294147.10500008</v>
      </c>
      <c r="N22" s="241">
        <f>IOTable!N23*'Price Table'!$F23</f>
        <v>381294147.10500008</v>
      </c>
      <c r="O22" s="241">
        <f>IOTable!O23*'Price Table'!$F23</f>
        <v>381294147.10500008</v>
      </c>
      <c r="P22" s="241">
        <f>IOTable!P23*'Price Table'!$F23</f>
        <v>381294147.10500008</v>
      </c>
      <c r="Q22" s="241">
        <f>IOTable!Q23*'Price Table'!$F23</f>
        <v>381294147.10500008</v>
      </c>
      <c r="R22" s="241">
        <f>IOTable!R23*'Price Table'!$F23</f>
        <v>381294147.10500008</v>
      </c>
      <c r="S22" s="241">
        <f>IOTable!S23*'Price Table'!$F23</f>
        <v>381294147.10500008</v>
      </c>
      <c r="T22" s="241">
        <f>IOTable!T23*'Price Table'!$F23</f>
        <v>381294147.10500008</v>
      </c>
      <c r="U22" s="241">
        <f>IOTable!U23*'Price Table'!$F23</f>
        <v>381294147.10500008</v>
      </c>
      <c r="V22" s="241">
        <f>IOTable!V23*'Price Table'!$F23</f>
        <v>381294147.10500008</v>
      </c>
      <c r="W22" s="241">
        <f>IOTable!W23*'Price Table'!$F23</f>
        <v>381294147.10500008</v>
      </c>
      <c r="X22" s="241">
        <f>IOTable!X23*'Price Table'!$F23</f>
        <v>381294147.10500008</v>
      </c>
      <c r="Y22" s="241">
        <f>IOTable!Y23*'Price Table'!$F23</f>
        <v>381294147.10500008</v>
      </c>
      <c r="Z22" s="241">
        <f>IOTable!Z23*'Price Table'!$F23</f>
        <v>381294147.10500008</v>
      </c>
      <c r="AA22" s="241">
        <f>IOTable!AA23*'Price Table'!$F23</f>
        <v>381294147.10500008</v>
      </c>
      <c r="AB22" s="241">
        <f>IOTable!AB23*'Price Table'!$F23</f>
        <v>381294147.10500008</v>
      </c>
      <c r="AC22" s="241">
        <f>IOTable!AC23*'Price Table'!$F23</f>
        <v>381294147.10500008</v>
      </c>
      <c r="AD22" s="241">
        <f>IOTable!AD23*'Price Table'!$F23</f>
        <v>381294147.10500008</v>
      </c>
      <c r="AE22" s="241">
        <f>IOTable!AE23*'Price Table'!$F23</f>
        <v>381294147.10500008</v>
      </c>
      <c r="AF22" s="241">
        <f>IOTable!AF23*'Price Table'!$F23</f>
        <v>381294147.10500008</v>
      </c>
      <c r="AG22" s="241">
        <f>IOTable!AG23*'Price Table'!$F23</f>
        <v>381294147.10500008</v>
      </c>
    </row>
    <row r="23" spans="1:33">
      <c r="A23" s="238"/>
      <c r="B23" s="132" t="s">
        <v>428</v>
      </c>
      <c r="C23" s="240" t="s">
        <v>58</v>
      </c>
      <c r="D23" s="241">
        <f>IOTable!D24*'Price Table'!$F24</f>
        <v>231346517.39999995</v>
      </c>
      <c r="E23" s="241">
        <f>IOTable!E24*'Price Table'!$F24</f>
        <v>231346517.39999995</v>
      </c>
      <c r="F23" s="241">
        <f>IOTable!F24*'Price Table'!$F24</f>
        <v>231346517.39999995</v>
      </c>
      <c r="G23" s="241">
        <f>IOTable!G24*'Price Table'!$F24</f>
        <v>231346517.39999995</v>
      </c>
      <c r="H23" s="241">
        <f>IOTable!H24*'Price Table'!$F24</f>
        <v>231346517.39999995</v>
      </c>
      <c r="I23" s="241">
        <f>IOTable!I24*'Price Table'!$F24</f>
        <v>231346517.39999995</v>
      </c>
      <c r="J23" s="241">
        <f>IOTable!J24*'Price Table'!$F24</f>
        <v>231346517.39999995</v>
      </c>
      <c r="K23" s="241">
        <f>IOTable!K24*'Price Table'!$F24</f>
        <v>231346517.39999995</v>
      </c>
      <c r="L23" s="241">
        <f>IOTable!L24*'Price Table'!$F24</f>
        <v>231346517.39999995</v>
      </c>
      <c r="M23" s="241">
        <f>IOTable!M24*'Price Table'!$F24</f>
        <v>231346517.39999995</v>
      </c>
      <c r="N23" s="241">
        <f>IOTable!N24*'Price Table'!$F24</f>
        <v>231346517.39999995</v>
      </c>
      <c r="O23" s="241">
        <f>IOTable!O24*'Price Table'!$F24</f>
        <v>231346517.39999995</v>
      </c>
      <c r="P23" s="241">
        <f>IOTable!P24*'Price Table'!$F24</f>
        <v>231346517.39999995</v>
      </c>
      <c r="Q23" s="241">
        <f>IOTable!Q24*'Price Table'!$F24</f>
        <v>231346517.39999995</v>
      </c>
      <c r="R23" s="241">
        <f>IOTable!R24*'Price Table'!$F24</f>
        <v>231346517.39999995</v>
      </c>
      <c r="S23" s="241">
        <f>IOTable!S24*'Price Table'!$F24</f>
        <v>231346517.39999995</v>
      </c>
      <c r="T23" s="241">
        <f>IOTable!T24*'Price Table'!$F24</f>
        <v>231346517.39999995</v>
      </c>
      <c r="U23" s="241">
        <f>IOTable!U24*'Price Table'!$F24</f>
        <v>231346517.39999995</v>
      </c>
      <c r="V23" s="241">
        <f>IOTable!V24*'Price Table'!$F24</f>
        <v>231346517.39999995</v>
      </c>
      <c r="W23" s="241">
        <f>IOTable!W24*'Price Table'!$F24</f>
        <v>231346517.39999995</v>
      </c>
      <c r="X23" s="241">
        <f>IOTable!X24*'Price Table'!$F24</f>
        <v>231346517.39999995</v>
      </c>
      <c r="Y23" s="241">
        <f>IOTable!Y24*'Price Table'!$F24</f>
        <v>231346517.39999995</v>
      </c>
      <c r="Z23" s="241">
        <f>IOTable!Z24*'Price Table'!$F24</f>
        <v>231346517.39999995</v>
      </c>
      <c r="AA23" s="241">
        <f>IOTable!AA24*'Price Table'!$F24</f>
        <v>231346517.39999995</v>
      </c>
      <c r="AB23" s="241">
        <f>IOTable!AB24*'Price Table'!$F24</f>
        <v>231346517.39999995</v>
      </c>
      <c r="AC23" s="241">
        <f>IOTable!AC24*'Price Table'!$F24</f>
        <v>231346517.39999995</v>
      </c>
      <c r="AD23" s="241">
        <f>IOTable!AD24*'Price Table'!$F24</f>
        <v>231346517.39999995</v>
      </c>
      <c r="AE23" s="241">
        <f>IOTable!AE24*'Price Table'!$F24</f>
        <v>231346517.39999995</v>
      </c>
      <c r="AF23" s="241">
        <f>IOTable!AF24*'Price Table'!$F24</f>
        <v>231346517.39999995</v>
      </c>
      <c r="AG23" s="241">
        <f>IOTable!AG24*'Price Table'!$F24</f>
        <v>231346517.39999995</v>
      </c>
    </row>
    <row r="24" spans="1:33">
      <c r="A24" s="238"/>
      <c r="B24" s="132" t="s">
        <v>12</v>
      </c>
      <c r="C24" s="240" t="s">
        <v>58</v>
      </c>
      <c r="D24" s="241">
        <f>IOTable!D25*'Price Table'!$F25</f>
        <v>393233290.2835319</v>
      </c>
      <c r="E24" s="241">
        <f>IOTable!E25*'Price Table'!$F25</f>
        <v>393233290.2835319</v>
      </c>
      <c r="F24" s="241">
        <f>IOTable!F25*'Price Table'!$F25</f>
        <v>393233290.2835319</v>
      </c>
      <c r="G24" s="241">
        <f>IOTable!G25*'Price Table'!$F25</f>
        <v>393233290.2835319</v>
      </c>
      <c r="H24" s="241">
        <f>IOTable!H25*'Price Table'!$F25</f>
        <v>393233290.2835319</v>
      </c>
      <c r="I24" s="241">
        <f>IOTable!I25*'Price Table'!$F25</f>
        <v>393233290.2835319</v>
      </c>
      <c r="J24" s="241">
        <f>IOTable!J25*'Price Table'!$F25</f>
        <v>393233290.2835319</v>
      </c>
      <c r="K24" s="241">
        <f>IOTable!K25*'Price Table'!$F25</f>
        <v>393233290.2835319</v>
      </c>
      <c r="L24" s="241">
        <f>IOTable!L25*'Price Table'!$F25</f>
        <v>393233290.2835319</v>
      </c>
      <c r="M24" s="241">
        <f>IOTable!M25*'Price Table'!$F25</f>
        <v>393233290.2835319</v>
      </c>
      <c r="N24" s="241">
        <f>IOTable!N25*'Price Table'!$F25</f>
        <v>393233290.2835319</v>
      </c>
      <c r="O24" s="241">
        <f>IOTable!O25*'Price Table'!$F25</f>
        <v>393233290.2835319</v>
      </c>
      <c r="P24" s="241">
        <f>IOTable!P25*'Price Table'!$F25</f>
        <v>393233290.2835319</v>
      </c>
      <c r="Q24" s="241">
        <f>IOTable!Q25*'Price Table'!$F25</f>
        <v>393233290.2835319</v>
      </c>
      <c r="R24" s="241">
        <f>IOTable!R25*'Price Table'!$F25</f>
        <v>393233290.2835319</v>
      </c>
      <c r="S24" s="241">
        <f>IOTable!S25*'Price Table'!$F25</f>
        <v>393233290.2835319</v>
      </c>
      <c r="T24" s="241">
        <f>IOTable!T25*'Price Table'!$F25</f>
        <v>393233290.2835319</v>
      </c>
      <c r="U24" s="241">
        <f>IOTable!U25*'Price Table'!$F25</f>
        <v>393233290.2835319</v>
      </c>
      <c r="V24" s="241">
        <f>IOTable!V25*'Price Table'!$F25</f>
        <v>393233290.2835319</v>
      </c>
      <c r="W24" s="241">
        <f>IOTable!W25*'Price Table'!$F25</f>
        <v>393233290.2835319</v>
      </c>
      <c r="X24" s="241">
        <f>IOTable!X25*'Price Table'!$F25</f>
        <v>393233290.2835319</v>
      </c>
      <c r="Y24" s="241">
        <f>IOTable!Y25*'Price Table'!$F25</f>
        <v>393233290.2835319</v>
      </c>
      <c r="Z24" s="241">
        <f>IOTable!Z25*'Price Table'!$F25</f>
        <v>393233290.2835319</v>
      </c>
      <c r="AA24" s="241">
        <f>IOTable!AA25*'Price Table'!$F25</f>
        <v>393233290.2835319</v>
      </c>
      <c r="AB24" s="241">
        <f>IOTable!AB25*'Price Table'!$F25</f>
        <v>393233290.2835319</v>
      </c>
      <c r="AC24" s="241">
        <f>IOTable!AC25*'Price Table'!$F25</f>
        <v>393233290.2835319</v>
      </c>
      <c r="AD24" s="241">
        <f>IOTable!AD25*'Price Table'!$F25</f>
        <v>393233290.2835319</v>
      </c>
      <c r="AE24" s="241">
        <f>IOTable!AE25*'Price Table'!$F25</f>
        <v>393233290.2835319</v>
      </c>
      <c r="AF24" s="241">
        <f>IOTable!AF25*'Price Table'!$F25</f>
        <v>393233290.2835319</v>
      </c>
      <c r="AG24" s="241">
        <f>IOTable!AG25*'Price Table'!$F25</f>
        <v>393233290.2835319</v>
      </c>
    </row>
    <row r="25" spans="1:33">
      <c r="A25" s="238"/>
      <c r="B25" s="132" t="s">
        <v>442</v>
      </c>
      <c r="C25" s="240" t="s">
        <v>58</v>
      </c>
      <c r="D25" s="241">
        <f>IOTable!D26*'Price Table'!$F26</f>
        <v>482208090.90485638</v>
      </c>
      <c r="E25" s="241">
        <f>IOTable!E26*'Price Table'!$F26</f>
        <v>482208090.90485638</v>
      </c>
      <c r="F25" s="241">
        <f>IOTable!F26*'Price Table'!$F26</f>
        <v>482208090.90485638</v>
      </c>
      <c r="G25" s="241">
        <f>IOTable!G26*'Price Table'!$F26</f>
        <v>482208090.90485638</v>
      </c>
      <c r="H25" s="241">
        <f>IOTable!H26*'Price Table'!$F26</f>
        <v>482208090.90485638</v>
      </c>
      <c r="I25" s="241">
        <f>IOTable!I26*'Price Table'!$F26</f>
        <v>482208090.90485638</v>
      </c>
      <c r="J25" s="241">
        <f>IOTable!J26*'Price Table'!$F26</f>
        <v>482208090.90485638</v>
      </c>
      <c r="K25" s="241">
        <f>IOTable!K26*'Price Table'!$F26</f>
        <v>482208090.90485638</v>
      </c>
      <c r="L25" s="241">
        <f>IOTable!L26*'Price Table'!$F26</f>
        <v>482208090.90485638</v>
      </c>
      <c r="M25" s="241">
        <f>IOTable!M26*'Price Table'!$F26</f>
        <v>482208090.90485638</v>
      </c>
      <c r="N25" s="241">
        <f>IOTable!N26*'Price Table'!$F26</f>
        <v>482208090.90485638</v>
      </c>
      <c r="O25" s="241">
        <f>IOTable!O26*'Price Table'!$F26</f>
        <v>482208090.90485638</v>
      </c>
      <c r="P25" s="241">
        <f>IOTable!P26*'Price Table'!$F26</f>
        <v>482208090.90485638</v>
      </c>
      <c r="Q25" s="241">
        <f>IOTable!Q26*'Price Table'!$F26</f>
        <v>482208090.90485638</v>
      </c>
      <c r="R25" s="241">
        <f>IOTable!R26*'Price Table'!$F26</f>
        <v>482208090.90485638</v>
      </c>
      <c r="S25" s="241">
        <f>IOTable!S26*'Price Table'!$F26</f>
        <v>482208090.90485638</v>
      </c>
      <c r="T25" s="241">
        <f>IOTable!T26*'Price Table'!$F26</f>
        <v>482208090.90485638</v>
      </c>
      <c r="U25" s="241">
        <f>IOTable!U26*'Price Table'!$F26</f>
        <v>482208090.90485638</v>
      </c>
      <c r="V25" s="241">
        <f>IOTable!V26*'Price Table'!$F26</f>
        <v>482208090.90485638</v>
      </c>
      <c r="W25" s="241">
        <f>IOTable!W26*'Price Table'!$F26</f>
        <v>482208090.90485638</v>
      </c>
      <c r="X25" s="241">
        <f>IOTable!X26*'Price Table'!$F26</f>
        <v>482208090.90485638</v>
      </c>
      <c r="Y25" s="241">
        <f>IOTable!Y26*'Price Table'!$F26</f>
        <v>482208090.90485638</v>
      </c>
      <c r="Z25" s="241">
        <f>IOTable!Z26*'Price Table'!$F26</f>
        <v>482208090.90485638</v>
      </c>
      <c r="AA25" s="241">
        <f>IOTable!AA26*'Price Table'!$F26</f>
        <v>482208090.90485638</v>
      </c>
      <c r="AB25" s="241">
        <f>IOTable!AB26*'Price Table'!$F26</f>
        <v>482208090.90485638</v>
      </c>
      <c r="AC25" s="241">
        <f>IOTable!AC26*'Price Table'!$F26</f>
        <v>482208090.90485638</v>
      </c>
      <c r="AD25" s="241">
        <f>IOTable!AD26*'Price Table'!$F26</f>
        <v>482208090.90485638</v>
      </c>
      <c r="AE25" s="241">
        <f>IOTable!AE26*'Price Table'!$F26</f>
        <v>482208090.90485638</v>
      </c>
      <c r="AF25" s="241">
        <f>IOTable!AF26*'Price Table'!$F26</f>
        <v>482208090.90485638</v>
      </c>
      <c r="AG25" s="241">
        <f>IOTable!AG26*'Price Table'!$F26</f>
        <v>482208090.90485638</v>
      </c>
    </row>
    <row r="26" spans="1:33">
      <c r="A26" s="238"/>
      <c r="B26" s="132" t="s">
        <v>15</v>
      </c>
      <c r="C26" s="240" t="s">
        <v>58</v>
      </c>
      <c r="D26" s="241">
        <f>IOTable!D27*'Price Table'!$F27</f>
        <v>135000000</v>
      </c>
      <c r="E26" s="241">
        <f>IOTable!E27*'Price Table'!$F27</f>
        <v>135000000</v>
      </c>
      <c r="F26" s="241">
        <f>IOTable!F27*'Price Table'!$F27</f>
        <v>135000000</v>
      </c>
      <c r="G26" s="241">
        <f>IOTable!G27*'Price Table'!$F27</f>
        <v>135000000</v>
      </c>
      <c r="H26" s="241">
        <f>IOTable!H27*'Price Table'!$F27</f>
        <v>135000000</v>
      </c>
      <c r="I26" s="241">
        <f>IOTable!I27*'Price Table'!$F27</f>
        <v>135000000</v>
      </c>
      <c r="J26" s="241">
        <f>IOTable!J27*'Price Table'!$F27</f>
        <v>135000000</v>
      </c>
      <c r="K26" s="241">
        <f>IOTable!K27*'Price Table'!$F27</f>
        <v>135000000</v>
      </c>
      <c r="L26" s="241">
        <f>IOTable!L27*'Price Table'!$F27</f>
        <v>135000000</v>
      </c>
      <c r="M26" s="241">
        <f>IOTable!M27*'Price Table'!$F27</f>
        <v>135000000</v>
      </c>
      <c r="N26" s="241">
        <f>IOTable!N27*'Price Table'!$F27</f>
        <v>135000000</v>
      </c>
      <c r="O26" s="241">
        <f>IOTable!O27*'Price Table'!$F27</f>
        <v>135000000</v>
      </c>
      <c r="P26" s="241">
        <f>IOTable!P27*'Price Table'!$F27</f>
        <v>135000000</v>
      </c>
      <c r="Q26" s="241">
        <f>IOTable!Q27*'Price Table'!$F27</f>
        <v>135000000</v>
      </c>
      <c r="R26" s="241">
        <f>IOTable!R27*'Price Table'!$F27</f>
        <v>135000000</v>
      </c>
      <c r="S26" s="241">
        <f>IOTable!S27*'Price Table'!$F27</f>
        <v>135000000</v>
      </c>
      <c r="T26" s="241">
        <f>IOTable!T27*'Price Table'!$F27</f>
        <v>135000000</v>
      </c>
      <c r="U26" s="241">
        <f>IOTable!U27*'Price Table'!$F27</f>
        <v>135000000</v>
      </c>
      <c r="V26" s="241">
        <f>IOTable!V27*'Price Table'!$F27</f>
        <v>135000000</v>
      </c>
      <c r="W26" s="241">
        <f>IOTable!W27*'Price Table'!$F27</f>
        <v>135000000</v>
      </c>
      <c r="X26" s="241">
        <f>IOTable!X27*'Price Table'!$F27</f>
        <v>135000000</v>
      </c>
      <c r="Y26" s="241">
        <f>IOTable!Y27*'Price Table'!$F27</f>
        <v>135000000</v>
      </c>
      <c r="Z26" s="241">
        <f>IOTable!Z27*'Price Table'!$F27</f>
        <v>135000000</v>
      </c>
      <c r="AA26" s="241">
        <f>IOTable!AA27*'Price Table'!$F27</f>
        <v>135000000</v>
      </c>
      <c r="AB26" s="241">
        <f>IOTable!AB27*'Price Table'!$F27</f>
        <v>135000000</v>
      </c>
      <c r="AC26" s="241">
        <f>IOTable!AC27*'Price Table'!$F27</f>
        <v>135000000</v>
      </c>
      <c r="AD26" s="241">
        <f>IOTable!AD27*'Price Table'!$F27</f>
        <v>135000000</v>
      </c>
      <c r="AE26" s="241">
        <f>IOTable!AE27*'Price Table'!$F27</f>
        <v>135000000</v>
      </c>
      <c r="AF26" s="241">
        <f>IOTable!AF27*'Price Table'!$F27</f>
        <v>135000000</v>
      </c>
      <c r="AG26" s="241">
        <f>IOTable!AG27*'Price Table'!$F27</f>
        <v>135000000</v>
      </c>
    </row>
    <row r="27" spans="1:33">
      <c r="A27" s="238"/>
      <c r="B27" s="249" t="s">
        <v>16</v>
      </c>
      <c r="C27" s="240" t="s">
        <v>58</v>
      </c>
      <c r="D27" s="241">
        <f>IOTable!D28*'Price Table'!$F28</f>
        <v>6496000817.3076925</v>
      </c>
      <c r="E27" s="241">
        <f>IOTable!E28*'Price Table'!$F28</f>
        <v>6496000817.3076925</v>
      </c>
      <c r="F27" s="241">
        <f>IOTable!F28*'Price Table'!$F28</f>
        <v>6496000817.3076925</v>
      </c>
      <c r="G27" s="241">
        <f>IOTable!G28*'Price Table'!$F28</f>
        <v>6496000817.3076925</v>
      </c>
      <c r="H27" s="241">
        <f>IOTable!H28*'Price Table'!$F28</f>
        <v>6496000817.3076925</v>
      </c>
      <c r="I27" s="241">
        <f>IOTable!I28*'Price Table'!$F28</f>
        <v>6496000817.3076925</v>
      </c>
      <c r="J27" s="241">
        <f>IOTable!J28*'Price Table'!$F28</f>
        <v>6496000817.3076925</v>
      </c>
      <c r="K27" s="241">
        <f>IOTable!K28*'Price Table'!$F28</f>
        <v>6496000817.3076925</v>
      </c>
      <c r="L27" s="241">
        <f>IOTable!L28*'Price Table'!$F28</f>
        <v>6496000817.3076925</v>
      </c>
      <c r="M27" s="241">
        <f>IOTable!M28*'Price Table'!$F28</f>
        <v>6496000817.3076925</v>
      </c>
      <c r="N27" s="241">
        <f>IOTable!N28*'Price Table'!$F28</f>
        <v>6496000817.3076925</v>
      </c>
      <c r="O27" s="241">
        <f>IOTable!O28*'Price Table'!$F28</f>
        <v>6496000817.3076925</v>
      </c>
      <c r="P27" s="241">
        <f>IOTable!P28*'Price Table'!$F28</f>
        <v>6496000817.3076925</v>
      </c>
      <c r="Q27" s="241">
        <f>IOTable!Q28*'Price Table'!$F28</f>
        <v>6496000817.3076925</v>
      </c>
      <c r="R27" s="241">
        <f>IOTable!R28*'Price Table'!$F28</f>
        <v>6496000817.3076925</v>
      </c>
      <c r="S27" s="241">
        <f>IOTable!S28*'Price Table'!$F28</f>
        <v>6496000817.3076925</v>
      </c>
      <c r="T27" s="241">
        <f>IOTable!T28*'Price Table'!$F28</f>
        <v>6496000817.3076925</v>
      </c>
      <c r="U27" s="241">
        <f>IOTable!U28*'Price Table'!$F28</f>
        <v>6496000817.3076925</v>
      </c>
      <c r="V27" s="241">
        <f>IOTable!V28*'Price Table'!$F28</f>
        <v>6496000817.3076925</v>
      </c>
      <c r="W27" s="241">
        <f>IOTable!W28*'Price Table'!$F28</f>
        <v>6496000817.3076925</v>
      </c>
      <c r="X27" s="241">
        <f>IOTable!X28*'Price Table'!$F28</f>
        <v>6496000817.3076925</v>
      </c>
      <c r="Y27" s="241">
        <f>IOTable!Y28*'Price Table'!$F28</f>
        <v>6496000817.3076925</v>
      </c>
      <c r="Z27" s="241">
        <f>IOTable!Z28*'Price Table'!$F28</f>
        <v>6496000817.3076925</v>
      </c>
      <c r="AA27" s="241">
        <f>IOTable!AA28*'Price Table'!$F28</f>
        <v>6496000817.3076925</v>
      </c>
      <c r="AB27" s="241">
        <f>IOTable!AB28*'Price Table'!$F28</f>
        <v>6496000817.3076925</v>
      </c>
      <c r="AC27" s="241">
        <f>IOTable!AC28*'Price Table'!$F28</f>
        <v>6496000817.3076925</v>
      </c>
      <c r="AD27" s="241">
        <f>IOTable!AD28*'Price Table'!$F28</f>
        <v>6496000817.3076925</v>
      </c>
      <c r="AE27" s="241">
        <f>IOTable!AE28*'Price Table'!$F28</f>
        <v>6496000817.3076925</v>
      </c>
      <c r="AF27" s="241">
        <f>IOTable!AF28*'Price Table'!$F28</f>
        <v>6496000817.3076925</v>
      </c>
      <c r="AG27" s="241">
        <f>IOTable!AG28*'Price Table'!$F28</f>
        <v>6496000817.3076925</v>
      </c>
    </row>
    <row r="28" spans="1:33">
      <c r="A28" s="238"/>
      <c r="B28" s="132" t="s">
        <v>18</v>
      </c>
      <c r="C28" s="240" t="s">
        <v>58</v>
      </c>
      <c r="D28" s="241">
        <f>IOTable!D29*'Price Table'!$F29</f>
        <v>189000000</v>
      </c>
      <c r="E28" s="241">
        <f>IOTable!E29*'Price Table'!$F29</f>
        <v>189000000</v>
      </c>
      <c r="F28" s="241">
        <f>IOTable!F29*'Price Table'!$F29</f>
        <v>189000000</v>
      </c>
      <c r="G28" s="241">
        <f>IOTable!G29*'Price Table'!$F29</f>
        <v>189000000</v>
      </c>
      <c r="H28" s="241">
        <f>IOTable!H29*'Price Table'!$F29</f>
        <v>189000000</v>
      </c>
      <c r="I28" s="241">
        <f>IOTable!I29*'Price Table'!$F29</f>
        <v>189000000</v>
      </c>
      <c r="J28" s="241">
        <f>IOTable!J29*'Price Table'!$F29</f>
        <v>189000000</v>
      </c>
      <c r="K28" s="241">
        <f>IOTable!K29*'Price Table'!$F29</f>
        <v>189000000</v>
      </c>
      <c r="L28" s="241">
        <f>IOTable!L29*'Price Table'!$F29</f>
        <v>189000000</v>
      </c>
      <c r="M28" s="241">
        <f>IOTable!M29*'Price Table'!$F29</f>
        <v>189000000</v>
      </c>
      <c r="N28" s="241">
        <f>IOTable!N29*'Price Table'!$F29</f>
        <v>189000000</v>
      </c>
      <c r="O28" s="241">
        <f>IOTable!O29*'Price Table'!$F29</f>
        <v>189000000</v>
      </c>
      <c r="P28" s="241">
        <f>IOTable!P29*'Price Table'!$F29</f>
        <v>189000000</v>
      </c>
      <c r="Q28" s="241">
        <f>IOTable!Q29*'Price Table'!$F29</f>
        <v>189000000</v>
      </c>
      <c r="R28" s="241">
        <f>IOTable!R29*'Price Table'!$F29</f>
        <v>189000000</v>
      </c>
      <c r="S28" s="241">
        <f>IOTable!S29*'Price Table'!$F29</f>
        <v>189000000</v>
      </c>
      <c r="T28" s="241">
        <f>IOTable!T29*'Price Table'!$F29</f>
        <v>189000000</v>
      </c>
      <c r="U28" s="241">
        <f>IOTable!U29*'Price Table'!$F29</f>
        <v>189000000</v>
      </c>
      <c r="V28" s="241">
        <f>IOTable!V29*'Price Table'!$F29</f>
        <v>189000000</v>
      </c>
      <c r="W28" s="241">
        <f>IOTable!W29*'Price Table'!$F29</f>
        <v>189000000</v>
      </c>
      <c r="X28" s="241">
        <f>IOTable!X29*'Price Table'!$F29</f>
        <v>189000000</v>
      </c>
      <c r="Y28" s="241">
        <f>IOTable!Y29*'Price Table'!$F29</f>
        <v>189000000</v>
      </c>
      <c r="Z28" s="241">
        <f>IOTable!Z29*'Price Table'!$F29</f>
        <v>189000000</v>
      </c>
      <c r="AA28" s="241">
        <f>IOTable!AA29*'Price Table'!$F29</f>
        <v>189000000</v>
      </c>
      <c r="AB28" s="241">
        <f>IOTable!AB29*'Price Table'!$F29</f>
        <v>189000000</v>
      </c>
      <c r="AC28" s="241">
        <f>IOTable!AC29*'Price Table'!$F29</f>
        <v>189000000</v>
      </c>
      <c r="AD28" s="241">
        <f>IOTable!AD29*'Price Table'!$F29</f>
        <v>189000000</v>
      </c>
      <c r="AE28" s="241">
        <f>IOTable!AE29*'Price Table'!$F29</f>
        <v>189000000</v>
      </c>
      <c r="AF28" s="241">
        <f>IOTable!AF29*'Price Table'!$F29</f>
        <v>189000000</v>
      </c>
      <c r="AG28" s="241">
        <f>IOTable!AG29*'Price Table'!$F29</f>
        <v>189000000</v>
      </c>
    </row>
    <row r="29" spans="1:33">
      <c r="A29" s="238"/>
      <c r="B29" s="132" t="s">
        <v>19</v>
      </c>
      <c r="C29" s="240" t="s">
        <v>58</v>
      </c>
      <c r="D29" s="241">
        <f>IOTable!D30*'Price Table'!$F30</f>
        <v>81000000</v>
      </c>
      <c r="E29" s="241">
        <f>IOTable!E30*'Price Table'!$F30</f>
        <v>81000000</v>
      </c>
      <c r="F29" s="241">
        <f>IOTable!F30*'Price Table'!$F30</f>
        <v>81000000</v>
      </c>
      <c r="G29" s="241">
        <f>IOTable!G30*'Price Table'!$F30</f>
        <v>81000000</v>
      </c>
      <c r="H29" s="241">
        <f>IOTable!H30*'Price Table'!$F30</f>
        <v>81000000</v>
      </c>
      <c r="I29" s="241">
        <f>IOTable!I30*'Price Table'!$F30</f>
        <v>81000000</v>
      </c>
      <c r="J29" s="241">
        <f>IOTable!J30*'Price Table'!$F30</f>
        <v>81000000</v>
      </c>
      <c r="K29" s="241">
        <f>IOTable!K30*'Price Table'!$F30</f>
        <v>81000000</v>
      </c>
      <c r="L29" s="241">
        <f>IOTable!L30*'Price Table'!$F30</f>
        <v>81000000</v>
      </c>
      <c r="M29" s="241">
        <f>IOTable!M30*'Price Table'!$F30</f>
        <v>81000000</v>
      </c>
      <c r="N29" s="241">
        <f>IOTable!N30*'Price Table'!$F30</f>
        <v>81000000</v>
      </c>
      <c r="O29" s="241">
        <f>IOTable!O30*'Price Table'!$F30</f>
        <v>81000000</v>
      </c>
      <c r="P29" s="241">
        <f>IOTable!P30*'Price Table'!$F30</f>
        <v>81000000</v>
      </c>
      <c r="Q29" s="241">
        <f>IOTable!Q30*'Price Table'!$F30</f>
        <v>81000000</v>
      </c>
      <c r="R29" s="241">
        <f>IOTable!R30*'Price Table'!$F30</f>
        <v>81000000</v>
      </c>
      <c r="S29" s="241">
        <f>IOTable!S30*'Price Table'!$F30</f>
        <v>81000000</v>
      </c>
      <c r="T29" s="241">
        <f>IOTable!T30*'Price Table'!$F30</f>
        <v>81000000</v>
      </c>
      <c r="U29" s="241">
        <f>IOTable!U30*'Price Table'!$F30</f>
        <v>81000000</v>
      </c>
      <c r="V29" s="241">
        <f>IOTable!V30*'Price Table'!$F30</f>
        <v>81000000</v>
      </c>
      <c r="W29" s="241">
        <f>IOTable!W30*'Price Table'!$F30</f>
        <v>81000000</v>
      </c>
      <c r="X29" s="241">
        <f>IOTable!X30*'Price Table'!$F30</f>
        <v>81000000</v>
      </c>
      <c r="Y29" s="241">
        <f>IOTable!Y30*'Price Table'!$F30</f>
        <v>81000000</v>
      </c>
      <c r="Z29" s="241">
        <f>IOTable!Z30*'Price Table'!$F30</f>
        <v>81000000</v>
      </c>
      <c r="AA29" s="241">
        <f>IOTable!AA30*'Price Table'!$F30</f>
        <v>81000000</v>
      </c>
      <c r="AB29" s="241">
        <f>IOTable!AB30*'Price Table'!$F30</f>
        <v>81000000</v>
      </c>
      <c r="AC29" s="241">
        <f>IOTable!AC30*'Price Table'!$F30</f>
        <v>81000000</v>
      </c>
      <c r="AD29" s="241">
        <f>IOTable!AD30*'Price Table'!$F30</f>
        <v>81000000</v>
      </c>
      <c r="AE29" s="241">
        <f>IOTable!AE30*'Price Table'!$F30</f>
        <v>81000000</v>
      </c>
      <c r="AF29" s="241">
        <f>IOTable!AF30*'Price Table'!$F30</f>
        <v>81000000</v>
      </c>
      <c r="AG29" s="241">
        <f>IOTable!AG30*'Price Table'!$F30</f>
        <v>81000000</v>
      </c>
    </row>
    <row r="30" spans="1:33">
      <c r="A30" s="238"/>
      <c r="B30" s="249"/>
      <c r="C30" s="240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41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</row>
    <row r="31" spans="1:33">
      <c r="A31" s="250"/>
      <c r="B31" s="251" t="s">
        <v>44</v>
      </c>
      <c r="C31" s="240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  <c r="AD31" s="241"/>
      <c r="AE31" s="241"/>
      <c r="AF31" s="241"/>
      <c r="AG31" s="241"/>
    </row>
    <row r="32" spans="1:33">
      <c r="A32" s="250"/>
      <c r="B32" s="249" t="s">
        <v>23</v>
      </c>
      <c r="C32" s="240" t="s">
        <v>58</v>
      </c>
      <c r="D32" s="241">
        <f>IOTable!D33*'Price Table'!$F33</f>
        <v>162000000</v>
      </c>
      <c r="E32" s="241">
        <f>IOTable!E33*'Price Table'!$F33</f>
        <v>162000000</v>
      </c>
      <c r="F32" s="241">
        <f>IOTable!F33*'Price Table'!$F33</f>
        <v>162000000</v>
      </c>
      <c r="G32" s="241">
        <f>IOTable!G33*'Price Table'!$F33</f>
        <v>162000000</v>
      </c>
      <c r="H32" s="241">
        <f>IOTable!H33*'Price Table'!$F33</f>
        <v>162000000</v>
      </c>
      <c r="I32" s="241">
        <f>IOTable!I33*'Price Table'!$F33</f>
        <v>162000000</v>
      </c>
      <c r="J32" s="241">
        <f>IOTable!J33*'Price Table'!$F33</f>
        <v>162000000</v>
      </c>
      <c r="K32" s="241">
        <f>IOTable!K33*'Price Table'!$F33</f>
        <v>162000000</v>
      </c>
      <c r="L32" s="241">
        <f>IOTable!L33*'Price Table'!$F33</f>
        <v>162000000</v>
      </c>
      <c r="M32" s="241">
        <f>IOTable!M33*'Price Table'!$F33</f>
        <v>162000000</v>
      </c>
      <c r="N32" s="241">
        <f>IOTable!N33*'Price Table'!$F33</f>
        <v>162000000</v>
      </c>
      <c r="O32" s="241">
        <f>IOTable!O33*'Price Table'!$F33</f>
        <v>162000000</v>
      </c>
      <c r="P32" s="241">
        <f>IOTable!P33*'Price Table'!$F33</f>
        <v>162000000</v>
      </c>
      <c r="Q32" s="241">
        <f>IOTable!Q33*'Price Table'!$F33</f>
        <v>162000000</v>
      </c>
      <c r="R32" s="241">
        <f>IOTable!R33*'Price Table'!$F33</f>
        <v>162000000</v>
      </c>
      <c r="S32" s="241">
        <f>IOTable!S33*'Price Table'!$F33</f>
        <v>162000000</v>
      </c>
      <c r="T32" s="241">
        <f>IOTable!T33*'Price Table'!$F33</f>
        <v>162000000</v>
      </c>
      <c r="U32" s="241">
        <f>IOTable!U33*'Price Table'!$F33</f>
        <v>162000000</v>
      </c>
      <c r="V32" s="241">
        <f>IOTable!V33*'Price Table'!$F33</f>
        <v>162000000</v>
      </c>
      <c r="W32" s="241">
        <f>IOTable!W33*'Price Table'!$F33</f>
        <v>162000000</v>
      </c>
      <c r="X32" s="241">
        <f>IOTable!X33*'Price Table'!$F33</f>
        <v>162000000</v>
      </c>
      <c r="Y32" s="241">
        <f>IOTable!Y33*'Price Table'!$F33</f>
        <v>162000000</v>
      </c>
      <c r="Z32" s="241">
        <f>IOTable!Z33*'Price Table'!$F33</f>
        <v>162000000</v>
      </c>
      <c r="AA32" s="241">
        <f>IOTable!AA33*'Price Table'!$F33</f>
        <v>162000000</v>
      </c>
      <c r="AB32" s="241">
        <f>IOTable!AB33*'Price Table'!$F33</f>
        <v>162000000</v>
      </c>
      <c r="AC32" s="241">
        <f>IOTable!AC33*'Price Table'!$F33</f>
        <v>162000000</v>
      </c>
      <c r="AD32" s="241">
        <f>IOTable!AD33*'Price Table'!$F33</f>
        <v>162000000</v>
      </c>
      <c r="AE32" s="241">
        <f>IOTable!AE33*'Price Table'!$F33</f>
        <v>162000000</v>
      </c>
      <c r="AF32" s="241">
        <f>IOTable!AF33*'Price Table'!$F33</f>
        <v>162000000</v>
      </c>
      <c r="AG32" s="241">
        <f>IOTable!AG33*'Price Table'!$F33</f>
        <v>162000000</v>
      </c>
    </row>
    <row r="33" spans="1:33">
      <c r="A33" s="238"/>
      <c r="B33" s="249" t="s">
        <v>18</v>
      </c>
      <c r="C33" s="240" t="s">
        <v>58</v>
      </c>
      <c r="D33" s="241">
        <f>IOTable!D34*'Price Table'!$F34</f>
        <v>189000000</v>
      </c>
      <c r="E33" s="241">
        <f>IOTable!E34*'Price Table'!$F34</f>
        <v>189000000</v>
      </c>
      <c r="F33" s="241">
        <f>IOTable!F34*'Price Table'!$F34</f>
        <v>189000000</v>
      </c>
      <c r="G33" s="241">
        <f>IOTable!G34*'Price Table'!$F34</f>
        <v>189000000</v>
      </c>
      <c r="H33" s="241">
        <f>IOTable!H34*'Price Table'!$F34</f>
        <v>189000000</v>
      </c>
      <c r="I33" s="241">
        <f>IOTable!I34*'Price Table'!$F34</f>
        <v>189000000</v>
      </c>
      <c r="J33" s="241">
        <f>IOTable!J34*'Price Table'!$F34</f>
        <v>189000000</v>
      </c>
      <c r="K33" s="241">
        <f>IOTable!K34*'Price Table'!$F34</f>
        <v>189000000</v>
      </c>
      <c r="L33" s="241">
        <f>IOTable!L34*'Price Table'!$F34</f>
        <v>189000000</v>
      </c>
      <c r="M33" s="241">
        <f>IOTable!M34*'Price Table'!$F34</f>
        <v>189000000</v>
      </c>
      <c r="N33" s="241">
        <f>IOTable!N34*'Price Table'!$F34</f>
        <v>189000000</v>
      </c>
      <c r="O33" s="241">
        <f>IOTable!O34*'Price Table'!$F34</f>
        <v>189000000</v>
      </c>
      <c r="P33" s="241">
        <f>IOTable!P34*'Price Table'!$F34</f>
        <v>189000000</v>
      </c>
      <c r="Q33" s="241">
        <f>IOTable!Q34*'Price Table'!$F34</f>
        <v>189000000</v>
      </c>
      <c r="R33" s="241">
        <f>IOTable!R34*'Price Table'!$F34</f>
        <v>189000000</v>
      </c>
      <c r="S33" s="241">
        <f>IOTable!S34*'Price Table'!$F34</f>
        <v>189000000</v>
      </c>
      <c r="T33" s="241">
        <f>IOTable!T34*'Price Table'!$F34</f>
        <v>189000000</v>
      </c>
      <c r="U33" s="241">
        <f>IOTable!U34*'Price Table'!$F34</f>
        <v>189000000</v>
      </c>
      <c r="V33" s="241">
        <f>IOTable!V34*'Price Table'!$F34</f>
        <v>189000000</v>
      </c>
      <c r="W33" s="241">
        <f>IOTable!W34*'Price Table'!$F34</f>
        <v>189000000</v>
      </c>
      <c r="X33" s="241">
        <f>IOTable!X34*'Price Table'!$F34</f>
        <v>189000000</v>
      </c>
      <c r="Y33" s="241">
        <f>IOTable!Y34*'Price Table'!$F34</f>
        <v>189000000</v>
      </c>
      <c r="Z33" s="241">
        <f>IOTable!Z34*'Price Table'!$F34</f>
        <v>189000000</v>
      </c>
      <c r="AA33" s="241">
        <f>IOTable!AA34*'Price Table'!$F34</f>
        <v>189000000</v>
      </c>
      <c r="AB33" s="241">
        <f>IOTable!AB34*'Price Table'!$F34</f>
        <v>189000000</v>
      </c>
      <c r="AC33" s="241">
        <f>IOTable!AC34*'Price Table'!$F34</f>
        <v>189000000</v>
      </c>
      <c r="AD33" s="241">
        <f>IOTable!AD34*'Price Table'!$F34</f>
        <v>189000000</v>
      </c>
      <c r="AE33" s="241">
        <f>IOTable!AE34*'Price Table'!$F34</f>
        <v>189000000</v>
      </c>
      <c r="AF33" s="241">
        <f>IOTable!AF34*'Price Table'!$F34</f>
        <v>189000000</v>
      </c>
      <c r="AG33" s="241">
        <f>IOTable!AG34*'Price Table'!$F34</f>
        <v>189000000</v>
      </c>
    </row>
    <row r="34" spans="1:33">
      <c r="A34" s="250"/>
      <c r="B34" s="249" t="s">
        <v>24</v>
      </c>
      <c r="C34" s="240" t="s">
        <v>58</v>
      </c>
      <c r="D34" s="241">
        <f>IOTable!D35*'Price Table'!$F35</f>
        <v>306000000</v>
      </c>
      <c r="E34" s="241">
        <f>IOTable!E35*'Price Table'!$F35</f>
        <v>306000000</v>
      </c>
      <c r="F34" s="241">
        <f>IOTable!F35*'Price Table'!$F35</f>
        <v>306000000</v>
      </c>
      <c r="G34" s="241">
        <f>IOTable!G35*'Price Table'!$F35</f>
        <v>306000000</v>
      </c>
      <c r="H34" s="241">
        <f>IOTable!H35*'Price Table'!$F35</f>
        <v>306000000</v>
      </c>
      <c r="I34" s="241">
        <f>IOTable!I35*'Price Table'!$F35</f>
        <v>306000000</v>
      </c>
      <c r="J34" s="241">
        <f>IOTable!J35*'Price Table'!$F35</f>
        <v>306000000</v>
      </c>
      <c r="K34" s="241">
        <f>IOTable!K35*'Price Table'!$F35</f>
        <v>306000000</v>
      </c>
      <c r="L34" s="241">
        <f>IOTable!L35*'Price Table'!$F35</f>
        <v>306000000</v>
      </c>
      <c r="M34" s="241">
        <f>IOTable!M35*'Price Table'!$F35</f>
        <v>306000000</v>
      </c>
      <c r="N34" s="241">
        <f>IOTable!N35*'Price Table'!$F35</f>
        <v>306000000</v>
      </c>
      <c r="O34" s="241">
        <f>IOTable!O35*'Price Table'!$F35</f>
        <v>306000000</v>
      </c>
      <c r="P34" s="241">
        <f>IOTable!P35*'Price Table'!$F35</f>
        <v>306000000</v>
      </c>
      <c r="Q34" s="241">
        <f>IOTable!Q35*'Price Table'!$F35</f>
        <v>306000000</v>
      </c>
      <c r="R34" s="241">
        <f>IOTable!R35*'Price Table'!$F35</f>
        <v>306000000</v>
      </c>
      <c r="S34" s="241">
        <f>IOTable!S35*'Price Table'!$F35</f>
        <v>306000000</v>
      </c>
      <c r="T34" s="241">
        <f>IOTable!T35*'Price Table'!$F35</f>
        <v>306000000</v>
      </c>
      <c r="U34" s="241">
        <f>IOTable!U35*'Price Table'!$F35</f>
        <v>306000000</v>
      </c>
      <c r="V34" s="241">
        <f>IOTable!V35*'Price Table'!$F35</f>
        <v>306000000</v>
      </c>
      <c r="W34" s="241">
        <f>IOTable!W35*'Price Table'!$F35</f>
        <v>306000000</v>
      </c>
      <c r="X34" s="241">
        <f>IOTable!X35*'Price Table'!$F35</f>
        <v>306000000</v>
      </c>
      <c r="Y34" s="241">
        <f>IOTable!Y35*'Price Table'!$F35</f>
        <v>306000000</v>
      </c>
      <c r="Z34" s="241">
        <f>IOTable!Z35*'Price Table'!$F35</f>
        <v>306000000</v>
      </c>
      <c r="AA34" s="241">
        <f>IOTable!AA35*'Price Table'!$F35</f>
        <v>306000000</v>
      </c>
      <c r="AB34" s="241">
        <f>IOTable!AB35*'Price Table'!$F35</f>
        <v>306000000</v>
      </c>
      <c r="AC34" s="241">
        <f>IOTable!AC35*'Price Table'!$F35</f>
        <v>306000000</v>
      </c>
      <c r="AD34" s="241">
        <f>IOTable!AD35*'Price Table'!$F35</f>
        <v>306000000</v>
      </c>
      <c r="AE34" s="241">
        <f>IOTable!AE35*'Price Table'!$F35</f>
        <v>306000000</v>
      </c>
      <c r="AF34" s="241">
        <f>IOTable!AF35*'Price Table'!$F35</f>
        <v>306000000</v>
      </c>
      <c r="AG34" s="241">
        <f>IOTable!AG35*'Price Table'!$F35</f>
        <v>306000000</v>
      </c>
    </row>
    <row r="35" spans="1:33">
      <c r="A35" s="250"/>
      <c r="B35" s="239"/>
      <c r="C35" s="240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1"/>
      <c r="U35" s="241"/>
      <c r="V35" s="241"/>
      <c r="W35" s="241"/>
      <c r="X35" s="241"/>
      <c r="Y35" s="241"/>
      <c r="Z35" s="241"/>
      <c r="AA35" s="241"/>
      <c r="AB35" s="241"/>
      <c r="AC35" s="241"/>
      <c r="AD35" s="241"/>
      <c r="AE35" s="241"/>
      <c r="AF35" s="241"/>
      <c r="AG35" s="241"/>
    </row>
    <row r="36" spans="1:33" ht="15.6">
      <c r="A36" s="189" t="s">
        <v>45</v>
      </c>
      <c r="B36" s="179"/>
      <c r="C36" s="237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</row>
    <row r="37" spans="1:33">
      <c r="A37" s="238"/>
      <c r="B37" s="239" t="s">
        <v>46</v>
      </c>
      <c r="C37" s="240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41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</row>
    <row r="38" spans="1:33">
      <c r="A38" s="238"/>
      <c r="B38" s="132" t="s">
        <v>218</v>
      </c>
      <c r="C38" s="240" t="s">
        <v>58</v>
      </c>
      <c r="D38" s="241">
        <f>IOTable!D39*'Price Table'!$F39</f>
        <v>0</v>
      </c>
      <c r="E38" s="241">
        <f>IOTable!E39*'Price Table'!$F39</f>
        <v>0</v>
      </c>
      <c r="F38" s="241">
        <f>IOTable!F39*'Price Table'!$F39</f>
        <v>0</v>
      </c>
      <c r="G38" s="241">
        <f>IOTable!G39*'Price Table'!$F39</f>
        <v>0</v>
      </c>
      <c r="H38" s="241">
        <f>IOTable!H39*'Price Table'!$F39</f>
        <v>0</v>
      </c>
      <c r="I38" s="241">
        <f>IOTable!I39*'Price Table'!$F39</f>
        <v>0</v>
      </c>
      <c r="J38" s="241">
        <f>IOTable!J39*'Price Table'!$F39</f>
        <v>0</v>
      </c>
      <c r="K38" s="241">
        <f>IOTable!K39*'Price Table'!$F39</f>
        <v>0</v>
      </c>
      <c r="L38" s="241">
        <f>IOTable!L39*'Price Table'!$F39</f>
        <v>0</v>
      </c>
      <c r="M38" s="241">
        <f>IOTable!M39*'Price Table'!$F39</f>
        <v>0</v>
      </c>
      <c r="N38" s="241">
        <f>IOTable!N39*'Price Table'!$F39</f>
        <v>0</v>
      </c>
      <c r="O38" s="241">
        <f>IOTable!O39*'Price Table'!$F39</f>
        <v>0</v>
      </c>
      <c r="P38" s="241">
        <f>IOTable!P39*'Price Table'!$F39</f>
        <v>0</v>
      </c>
      <c r="Q38" s="241">
        <f>IOTable!Q39*'Price Table'!$F39</f>
        <v>0</v>
      </c>
      <c r="R38" s="241">
        <f>IOTable!R39*'Price Table'!$F39</f>
        <v>0</v>
      </c>
      <c r="S38" s="241">
        <f>IOTable!S39*'Price Table'!$F39</f>
        <v>0</v>
      </c>
      <c r="T38" s="241">
        <f>IOTable!T39*'Price Table'!$F39</f>
        <v>0</v>
      </c>
      <c r="U38" s="241">
        <f>IOTable!U39*'Price Table'!$F39</f>
        <v>0</v>
      </c>
      <c r="V38" s="241">
        <f>IOTable!V39*'Price Table'!$F39</f>
        <v>0</v>
      </c>
      <c r="W38" s="241">
        <f>IOTable!W39*'Price Table'!$F39</f>
        <v>0</v>
      </c>
      <c r="X38" s="241">
        <f>IOTable!X39*'Price Table'!$F39</f>
        <v>0</v>
      </c>
      <c r="Y38" s="241">
        <f>IOTable!Y39*'Price Table'!$F39</f>
        <v>0</v>
      </c>
      <c r="Z38" s="241">
        <f>IOTable!Z39*'Price Table'!$F39</f>
        <v>0</v>
      </c>
      <c r="AA38" s="241">
        <f>IOTable!AA39*'Price Table'!$F39</f>
        <v>0</v>
      </c>
      <c r="AB38" s="241">
        <f>IOTable!AB39*'Price Table'!$F39</f>
        <v>0</v>
      </c>
      <c r="AC38" s="241">
        <f>IOTable!AC39*'Price Table'!$F39</f>
        <v>0</v>
      </c>
      <c r="AD38" s="241">
        <f>IOTable!AD39*'Price Table'!$F39</f>
        <v>0</v>
      </c>
      <c r="AE38" s="241">
        <f>IOTable!AE39*'Price Table'!$F39</f>
        <v>0</v>
      </c>
      <c r="AF38" s="241">
        <f>IOTable!AF39*'Price Table'!$F39</f>
        <v>0</v>
      </c>
      <c r="AG38" s="241">
        <f>IOTable!AG39*'Price Table'!$F39</f>
        <v>0</v>
      </c>
    </row>
    <row r="39" spans="1:33">
      <c r="A39" s="238"/>
      <c r="B39" s="132" t="s">
        <v>451</v>
      </c>
      <c r="C39" s="240" t="s">
        <v>58</v>
      </c>
      <c r="D39" s="241">
        <f>IOTable!D40*'Price Table'!$F40</f>
        <v>80000000</v>
      </c>
      <c r="E39" s="241">
        <f>IOTable!E40*'Price Table'!$F40</f>
        <v>80000000</v>
      </c>
      <c r="F39" s="241">
        <f>IOTable!F40*'Price Table'!$F40</f>
        <v>80000000</v>
      </c>
      <c r="G39" s="241">
        <f>IOTable!G40*'Price Table'!$F40</f>
        <v>80000000</v>
      </c>
      <c r="H39" s="241">
        <f>IOTable!H40*'Price Table'!$F40</f>
        <v>80000000</v>
      </c>
      <c r="I39" s="241">
        <f>IOTable!I40*'Price Table'!$F40</f>
        <v>80000000</v>
      </c>
      <c r="J39" s="241">
        <f>IOTable!J40*'Price Table'!$F40</f>
        <v>80000000</v>
      </c>
      <c r="K39" s="241">
        <f>IOTable!K40*'Price Table'!$F40</f>
        <v>80000000</v>
      </c>
      <c r="L39" s="241">
        <f>IOTable!L40*'Price Table'!$F40</f>
        <v>80000000</v>
      </c>
      <c r="M39" s="241">
        <f>IOTable!M40*'Price Table'!$F40</f>
        <v>80000000</v>
      </c>
      <c r="N39" s="241">
        <f>IOTable!N40*'Price Table'!$F40</f>
        <v>80000000</v>
      </c>
      <c r="O39" s="241">
        <f>IOTable!O40*'Price Table'!$F40</f>
        <v>80000000</v>
      </c>
      <c r="P39" s="241">
        <f>IOTable!P40*'Price Table'!$F40</f>
        <v>80000000</v>
      </c>
      <c r="Q39" s="241">
        <f>IOTable!Q40*'Price Table'!$F40</f>
        <v>80000000</v>
      </c>
      <c r="R39" s="241">
        <f>IOTable!R40*'Price Table'!$F40</f>
        <v>80000000</v>
      </c>
      <c r="S39" s="241">
        <f>IOTable!S40*'Price Table'!$F40</f>
        <v>80000000</v>
      </c>
      <c r="T39" s="241">
        <f>IOTable!T40*'Price Table'!$F40</f>
        <v>80000000</v>
      </c>
      <c r="U39" s="241">
        <f>IOTable!U40*'Price Table'!$F40</f>
        <v>80000000</v>
      </c>
      <c r="V39" s="241">
        <f>IOTable!V40*'Price Table'!$F40</f>
        <v>80000000</v>
      </c>
      <c r="W39" s="241">
        <f>IOTable!W40*'Price Table'!$F40</f>
        <v>80000000</v>
      </c>
      <c r="X39" s="241">
        <f>IOTable!X40*'Price Table'!$F40</f>
        <v>80000000</v>
      </c>
      <c r="Y39" s="241">
        <f>IOTable!Y40*'Price Table'!$F40</f>
        <v>80000000</v>
      </c>
      <c r="Z39" s="241">
        <f>IOTable!Z40*'Price Table'!$F40</f>
        <v>80000000</v>
      </c>
      <c r="AA39" s="241">
        <f>IOTable!AA40*'Price Table'!$F40</f>
        <v>80000000</v>
      </c>
      <c r="AB39" s="241">
        <f>IOTable!AB40*'Price Table'!$F40</f>
        <v>80000000</v>
      </c>
      <c r="AC39" s="241">
        <f>IOTable!AC40*'Price Table'!$F40</f>
        <v>80000000</v>
      </c>
      <c r="AD39" s="241">
        <f>IOTable!AD40*'Price Table'!$F40</f>
        <v>80000000</v>
      </c>
      <c r="AE39" s="241">
        <f>IOTable!AE40*'Price Table'!$F40</f>
        <v>80000000</v>
      </c>
      <c r="AF39" s="241">
        <f>IOTable!AF40*'Price Table'!$F40</f>
        <v>80000000</v>
      </c>
      <c r="AG39" s="241">
        <f>IOTable!AG40*'Price Table'!$F40</f>
        <v>80000000</v>
      </c>
    </row>
    <row r="40" spans="1:33">
      <c r="A40" s="238"/>
      <c r="B40" s="132" t="s">
        <v>452</v>
      </c>
      <c r="C40" s="240" t="s">
        <v>58</v>
      </c>
      <c r="D40" s="241">
        <f>IOTable!D41*'Price Table'!$F41</f>
        <v>1600000</v>
      </c>
      <c r="E40" s="241">
        <f>IOTable!E41*'Price Table'!$F41</f>
        <v>1600000</v>
      </c>
      <c r="F40" s="241">
        <f>IOTable!F41*'Price Table'!$F41</f>
        <v>1600000</v>
      </c>
      <c r="G40" s="241">
        <f>IOTable!G41*'Price Table'!$F41</f>
        <v>1600000</v>
      </c>
      <c r="H40" s="241">
        <f>IOTable!H41*'Price Table'!$F41</f>
        <v>1600000</v>
      </c>
      <c r="I40" s="241">
        <f>IOTable!I41*'Price Table'!$F41</f>
        <v>1600000</v>
      </c>
      <c r="J40" s="241">
        <f>IOTable!J41*'Price Table'!$F41</f>
        <v>1600000</v>
      </c>
      <c r="K40" s="241">
        <f>IOTable!K41*'Price Table'!$F41</f>
        <v>1600000</v>
      </c>
      <c r="L40" s="241">
        <f>IOTable!L41*'Price Table'!$F41</f>
        <v>1600000</v>
      </c>
      <c r="M40" s="241">
        <f>IOTable!M41*'Price Table'!$F41</f>
        <v>1600000</v>
      </c>
      <c r="N40" s="241">
        <f>IOTable!N41*'Price Table'!$F41</f>
        <v>1600000</v>
      </c>
      <c r="O40" s="241">
        <f>IOTable!O41*'Price Table'!$F41</f>
        <v>1600000</v>
      </c>
      <c r="P40" s="241">
        <f>IOTable!P41*'Price Table'!$F41</f>
        <v>1600000</v>
      </c>
      <c r="Q40" s="241">
        <f>IOTable!Q41*'Price Table'!$F41</f>
        <v>1600000</v>
      </c>
      <c r="R40" s="241">
        <f>IOTable!R41*'Price Table'!$F41</f>
        <v>1600000</v>
      </c>
      <c r="S40" s="241">
        <f>IOTable!S41*'Price Table'!$F41</f>
        <v>1600000</v>
      </c>
      <c r="T40" s="241">
        <f>IOTable!T41*'Price Table'!$F41</f>
        <v>1600000</v>
      </c>
      <c r="U40" s="241">
        <f>IOTable!U41*'Price Table'!$F41</f>
        <v>1600000</v>
      </c>
      <c r="V40" s="241">
        <f>IOTable!V41*'Price Table'!$F41</f>
        <v>1600000</v>
      </c>
      <c r="W40" s="241">
        <f>IOTable!W41*'Price Table'!$F41</f>
        <v>1600000</v>
      </c>
      <c r="X40" s="241">
        <f>IOTable!X41*'Price Table'!$F41</f>
        <v>1600000</v>
      </c>
      <c r="Y40" s="241">
        <f>IOTable!Y41*'Price Table'!$F41</f>
        <v>1600000</v>
      </c>
      <c r="Z40" s="241">
        <f>IOTable!Z41*'Price Table'!$F41</f>
        <v>1600000</v>
      </c>
      <c r="AA40" s="241">
        <f>IOTable!AA41*'Price Table'!$F41</f>
        <v>1600000</v>
      </c>
      <c r="AB40" s="241">
        <f>IOTable!AB41*'Price Table'!$F41</f>
        <v>1600000</v>
      </c>
      <c r="AC40" s="241">
        <f>IOTable!AC41*'Price Table'!$F41</f>
        <v>1600000</v>
      </c>
      <c r="AD40" s="241">
        <f>IOTable!AD41*'Price Table'!$F41</f>
        <v>1600000</v>
      </c>
      <c r="AE40" s="241">
        <f>IOTable!AE41*'Price Table'!$F41</f>
        <v>1600000</v>
      </c>
      <c r="AF40" s="241">
        <f>IOTable!AF41*'Price Table'!$F41</f>
        <v>1600000</v>
      </c>
      <c r="AG40" s="241">
        <f>IOTable!AG41*'Price Table'!$F41</f>
        <v>1600000</v>
      </c>
    </row>
    <row r="41" spans="1:33">
      <c r="A41" s="238"/>
      <c r="B41" s="132" t="s">
        <v>454</v>
      </c>
      <c r="C41" s="240" t="s">
        <v>58</v>
      </c>
      <c r="D41" s="241">
        <f>IOTable!D42*'Price Table'!$F42</f>
        <v>20800000</v>
      </c>
      <c r="E41" s="241">
        <f>IOTable!E42*'Price Table'!$F42</f>
        <v>20800000</v>
      </c>
      <c r="F41" s="241">
        <f>IOTable!F42*'Price Table'!$F42</f>
        <v>20800000</v>
      </c>
      <c r="G41" s="241">
        <f>IOTable!G42*'Price Table'!$F42</f>
        <v>20800000</v>
      </c>
      <c r="H41" s="241">
        <f>IOTable!H42*'Price Table'!$F42</f>
        <v>20800000</v>
      </c>
      <c r="I41" s="241">
        <f>IOTable!I42*'Price Table'!$F42</f>
        <v>20800000</v>
      </c>
      <c r="J41" s="241">
        <f>IOTable!J42*'Price Table'!$F42</f>
        <v>20800000</v>
      </c>
      <c r="K41" s="241">
        <f>IOTable!K42*'Price Table'!$F42</f>
        <v>20800000</v>
      </c>
      <c r="L41" s="241">
        <f>IOTable!L42*'Price Table'!$F42</f>
        <v>20800000</v>
      </c>
      <c r="M41" s="241">
        <f>IOTable!M42*'Price Table'!$F42</f>
        <v>20800000</v>
      </c>
      <c r="N41" s="241">
        <f>IOTable!N42*'Price Table'!$F42</f>
        <v>20800000</v>
      </c>
      <c r="O41" s="241">
        <f>IOTable!O42*'Price Table'!$F42</f>
        <v>20800000</v>
      </c>
      <c r="P41" s="241">
        <f>IOTable!P42*'Price Table'!$F42</f>
        <v>20800000</v>
      </c>
      <c r="Q41" s="241">
        <f>IOTable!Q42*'Price Table'!$F42</f>
        <v>20800000</v>
      </c>
      <c r="R41" s="241">
        <f>IOTable!R42*'Price Table'!$F42</f>
        <v>20800000</v>
      </c>
      <c r="S41" s="241">
        <f>IOTable!S42*'Price Table'!$F42</f>
        <v>20800000</v>
      </c>
      <c r="T41" s="241">
        <f>IOTable!T42*'Price Table'!$F42</f>
        <v>20800000</v>
      </c>
      <c r="U41" s="241">
        <f>IOTable!U42*'Price Table'!$F42</f>
        <v>20800000</v>
      </c>
      <c r="V41" s="241">
        <f>IOTable!V42*'Price Table'!$F42</f>
        <v>20800000</v>
      </c>
      <c r="W41" s="241">
        <f>IOTable!W42*'Price Table'!$F42</f>
        <v>20800000</v>
      </c>
      <c r="X41" s="241">
        <f>IOTable!X42*'Price Table'!$F42</f>
        <v>20800000</v>
      </c>
      <c r="Y41" s="241">
        <f>IOTable!Y42*'Price Table'!$F42</f>
        <v>20800000</v>
      </c>
      <c r="Z41" s="241">
        <f>IOTable!Z42*'Price Table'!$F42</f>
        <v>20800000</v>
      </c>
      <c r="AA41" s="241">
        <f>IOTable!AA42*'Price Table'!$F42</f>
        <v>20800000</v>
      </c>
      <c r="AB41" s="241">
        <f>IOTable!AB42*'Price Table'!$F42</f>
        <v>20800000</v>
      </c>
      <c r="AC41" s="241">
        <f>IOTable!AC42*'Price Table'!$F42</f>
        <v>20800000</v>
      </c>
      <c r="AD41" s="241">
        <f>IOTable!AD42*'Price Table'!$F42</f>
        <v>20800000</v>
      </c>
      <c r="AE41" s="241">
        <f>IOTable!AE42*'Price Table'!$F42</f>
        <v>20800000</v>
      </c>
      <c r="AF41" s="241">
        <f>IOTable!AF42*'Price Table'!$F42</f>
        <v>20800000</v>
      </c>
      <c r="AG41" s="241">
        <f>IOTable!AG42*'Price Table'!$F42</f>
        <v>20800000</v>
      </c>
    </row>
    <row r="42" spans="1:33">
      <c r="A42" s="238"/>
      <c r="B42" s="132" t="s">
        <v>453</v>
      </c>
      <c r="C42" s="240" t="s">
        <v>58</v>
      </c>
      <c r="D42" s="241">
        <f>IOTable!D43*'Price Table'!$F43</f>
        <v>3326563.1999999997</v>
      </c>
      <c r="E42" s="241">
        <f>IOTable!E43*'Price Table'!$F43</f>
        <v>3326563.1999999997</v>
      </c>
      <c r="F42" s="241">
        <f>IOTable!F43*'Price Table'!$F43</f>
        <v>3326563.1999999997</v>
      </c>
      <c r="G42" s="241">
        <f>IOTable!G43*'Price Table'!$F43</f>
        <v>3326563.1999999997</v>
      </c>
      <c r="H42" s="241">
        <f>IOTable!H43*'Price Table'!$F43</f>
        <v>3326563.1999999997</v>
      </c>
      <c r="I42" s="241">
        <f>IOTable!I43*'Price Table'!$F43</f>
        <v>3326563.1999999997</v>
      </c>
      <c r="J42" s="241">
        <f>IOTable!J43*'Price Table'!$F43</f>
        <v>3326563.1999999997</v>
      </c>
      <c r="K42" s="241">
        <f>IOTable!K43*'Price Table'!$F43</f>
        <v>3326563.1999999997</v>
      </c>
      <c r="L42" s="241">
        <f>IOTable!L43*'Price Table'!$F43</f>
        <v>3326563.1999999997</v>
      </c>
      <c r="M42" s="241">
        <f>IOTable!M43*'Price Table'!$F43</f>
        <v>3326563.1999999997</v>
      </c>
      <c r="N42" s="241">
        <f>IOTable!N43*'Price Table'!$F43</f>
        <v>3326563.1999999997</v>
      </c>
      <c r="O42" s="241">
        <f>IOTable!O43*'Price Table'!$F43</f>
        <v>3326563.1999999997</v>
      </c>
      <c r="P42" s="241">
        <f>IOTable!P43*'Price Table'!$F43</f>
        <v>3326563.1999999997</v>
      </c>
      <c r="Q42" s="241">
        <f>IOTable!Q43*'Price Table'!$F43</f>
        <v>3326563.1999999997</v>
      </c>
      <c r="R42" s="241">
        <f>IOTable!R43*'Price Table'!$F43</f>
        <v>3326563.1999999997</v>
      </c>
      <c r="S42" s="241">
        <f>IOTable!S43*'Price Table'!$F43</f>
        <v>3326563.1999999997</v>
      </c>
      <c r="T42" s="241">
        <f>IOTable!T43*'Price Table'!$F43</f>
        <v>3326563.1999999997</v>
      </c>
      <c r="U42" s="241">
        <f>IOTable!U43*'Price Table'!$F43</f>
        <v>3326563.1999999997</v>
      </c>
      <c r="V42" s="241">
        <f>IOTable!V43*'Price Table'!$F43</f>
        <v>3326563.1999999997</v>
      </c>
      <c r="W42" s="241">
        <f>IOTable!W43*'Price Table'!$F43</f>
        <v>3326563.1999999997</v>
      </c>
      <c r="X42" s="241">
        <f>IOTable!X43*'Price Table'!$F43</f>
        <v>3326563.1999999997</v>
      </c>
      <c r="Y42" s="241">
        <f>IOTable!Y43*'Price Table'!$F43</f>
        <v>3326563.1999999997</v>
      </c>
      <c r="Z42" s="241">
        <f>IOTable!Z43*'Price Table'!$F43</f>
        <v>3326563.1999999997</v>
      </c>
      <c r="AA42" s="241">
        <f>IOTable!AA43*'Price Table'!$F43</f>
        <v>3326563.1999999997</v>
      </c>
      <c r="AB42" s="241">
        <f>IOTable!AB43*'Price Table'!$F43</f>
        <v>3326563.1999999997</v>
      </c>
      <c r="AC42" s="241">
        <f>IOTable!AC43*'Price Table'!$F43</f>
        <v>3328163.1999999997</v>
      </c>
      <c r="AD42" s="241">
        <f>IOTable!AD43*'Price Table'!$F43</f>
        <v>3329763.1999999997</v>
      </c>
      <c r="AE42" s="241">
        <f>IOTable!AE43*'Price Table'!$F43</f>
        <v>3331363.1999999997</v>
      </c>
      <c r="AF42" s="241">
        <f>IOTable!AF43*'Price Table'!$F43</f>
        <v>3332963.1999999997</v>
      </c>
      <c r="AG42" s="241">
        <f>IOTable!AG43*'Price Table'!$F43</f>
        <v>3334563.1999999997</v>
      </c>
    </row>
    <row r="43" spans="1:33">
      <c r="A43" s="238"/>
      <c r="B43" s="239" t="s">
        <v>47</v>
      </c>
      <c r="C43" s="240" t="s">
        <v>58</v>
      </c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41"/>
      <c r="S43" s="241"/>
      <c r="T43" s="241"/>
      <c r="U43" s="241"/>
      <c r="V43" s="241"/>
      <c r="W43" s="241"/>
      <c r="X43" s="241"/>
      <c r="Y43" s="241"/>
      <c r="Z43" s="241"/>
      <c r="AA43" s="241"/>
      <c r="AB43" s="241"/>
      <c r="AC43" s="241"/>
      <c r="AD43" s="241"/>
      <c r="AE43" s="241"/>
      <c r="AF43" s="241"/>
      <c r="AG43" s="241"/>
    </row>
    <row r="44" spans="1:33">
      <c r="A44" s="238"/>
      <c r="B44" s="265" t="s">
        <v>258</v>
      </c>
      <c r="C44" s="240" t="s">
        <v>58</v>
      </c>
      <c r="D44" s="241">
        <f>IOTable!D45*'Price Table'!$F45</f>
        <v>69000000</v>
      </c>
      <c r="E44" s="241">
        <f>IOTable!E45*'Price Table'!$F45</f>
        <v>0</v>
      </c>
      <c r="F44" s="241">
        <f>IOTable!F45*'Price Table'!$F45</f>
        <v>0</v>
      </c>
      <c r="G44" s="241">
        <f>IOTable!G45*'Price Table'!$F45</f>
        <v>0</v>
      </c>
      <c r="H44" s="241">
        <f>IOTable!H45*'Price Table'!$F45</f>
        <v>0</v>
      </c>
      <c r="I44" s="241">
        <f>IOTable!I45*'Price Table'!$F45</f>
        <v>0</v>
      </c>
      <c r="J44" s="241">
        <f>IOTable!J45*'Price Table'!$F45</f>
        <v>0</v>
      </c>
      <c r="K44" s="241">
        <f>IOTable!K45*'Price Table'!$F45</f>
        <v>0</v>
      </c>
      <c r="L44" s="241">
        <f>IOTable!L45*'Price Table'!$F45</f>
        <v>0</v>
      </c>
      <c r="M44" s="241">
        <f>IOTable!M45*'Price Table'!$F45</f>
        <v>0</v>
      </c>
      <c r="N44" s="241">
        <f>IOTable!N45*'Price Table'!$F45</f>
        <v>0</v>
      </c>
      <c r="O44" s="241">
        <f>IOTable!O45*'Price Table'!$F45</f>
        <v>0</v>
      </c>
      <c r="P44" s="241">
        <f>IOTable!P45*'Price Table'!$F45</f>
        <v>0</v>
      </c>
      <c r="Q44" s="241">
        <f>IOTable!Q45*'Price Table'!$F45</f>
        <v>0</v>
      </c>
      <c r="R44" s="241">
        <f>IOTable!R45*'Price Table'!$F45</f>
        <v>0</v>
      </c>
      <c r="S44" s="241">
        <f>IOTable!S45*'Price Table'!$F45</f>
        <v>0</v>
      </c>
      <c r="T44" s="241">
        <f>IOTable!T45*'Price Table'!$F45</f>
        <v>0</v>
      </c>
      <c r="U44" s="241">
        <f>IOTable!U45*'Price Table'!$F45</f>
        <v>0</v>
      </c>
      <c r="V44" s="241">
        <f>IOTable!V45*'Price Table'!$F45</f>
        <v>0</v>
      </c>
      <c r="W44" s="241">
        <f>IOTable!W45*'Price Table'!$F45</f>
        <v>0</v>
      </c>
      <c r="X44" s="241">
        <f>IOTable!X45*'Price Table'!$F45</f>
        <v>161000000</v>
      </c>
      <c r="Y44" s="241">
        <f>IOTable!Y45*'Price Table'!$F45</f>
        <v>0</v>
      </c>
      <c r="Z44" s="241">
        <f>IOTable!Z45*'Price Table'!$F45</f>
        <v>0</v>
      </c>
      <c r="AA44" s="241">
        <f>IOTable!AA45*'Price Table'!$F45</f>
        <v>0</v>
      </c>
      <c r="AB44" s="241">
        <f>IOTable!AB45*'Price Table'!$F45</f>
        <v>0</v>
      </c>
      <c r="AC44" s="241">
        <f>IOTable!AC45*'Price Table'!$F45</f>
        <v>0</v>
      </c>
      <c r="AD44" s="241">
        <f>IOTable!AD45*'Price Table'!$F45</f>
        <v>0</v>
      </c>
      <c r="AE44" s="241">
        <f>IOTable!AE45*'Price Table'!$F45</f>
        <v>0</v>
      </c>
      <c r="AF44" s="241">
        <f>IOTable!AF45*'Price Table'!$F45</f>
        <v>0</v>
      </c>
      <c r="AG44" s="241">
        <f>IOTable!AG45*'Price Table'!$F45</f>
        <v>0</v>
      </c>
    </row>
    <row r="45" spans="1:33">
      <c r="A45" s="238"/>
      <c r="B45" s="265" t="s">
        <v>257</v>
      </c>
      <c r="C45" s="240" t="s">
        <v>58</v>
      </c>
      <c r="D45" s="241">
        <f>IOTable!D46*'Price Table'!$F46</f>
        <v>10500000</v>
      </c>
      <c r="E45" s="241">
        <f>IOTable!E46*'Price Table'!$F46</f>
        <v>0</v>
      </c>
      <c r="F45" s="241">
        <f>IOTable!F46*'Price Table'!$F46</f>
        <v>0</v>
      </c>
      <c r="G45" s="241">
        <f>IOTable!G46*'Price Table'!$F46</f>
        <v>0</v>
      </c>
      <c r="H45" s="241">
        <f>IOTable!H46*'Price Table'!$F46</f>
        <v>0</v>
      </c>
      <c r="I45" s="241">
        <f>IOTable!I46*'Price Table'!$F46</f>
        <v>10500000</v>
      </c>
      <c r="J45" s="241">
        <f>IOTable!J46*'Price Table'!$F46</f>
        <v>0</v>
      </c>
      <c r="K45" s="241">
        <f>IOTable!K46*'Price Table'!$F46</f>
        <v>0</v>
      </c>
      <c r="L45" s="241">
        <f>IOTable!L46*'Price Table'!$F46</f>
        <v>0</v>
      </c>
      <c r="M45" s="241">
        <f>IOTable!M46*'Price Table'!$F46</f>
        <v>0</v>
      </c>
      <c r="N45" s="241">
        <f>IOTable!N46*'Price Table'!$F46</f>
        <v>10500000</v>
      </c>
      <c r="O45" s="241">
        <f>IOTable!O46*'Price Table'!$F46</f>
        <v>0</v>
      </c>
      <c r="P45" s="241">
        <f>IOTable!P46*'Price Table'!$F46</f>
        <v>0</v>
      </c>
      <c r="Q45" s="241">
        <f>IOTable!Q46*'Price Table'!$F46</f>
        <v>0</v>
      </c>
      <c r="R45" s="241">
        <f>IOTable!R46*'Price Table'!$F46</f>
        <v>0</v>
      </c>
      <c r="S45" s="241">
        <f>IOTable!S46*'Price Table'!$F46</f>
        <v>10500000</v>
      </c>
      <c r="T45" s="241">
        <f>IOTable!T46*'Price Table'!$F46</f>
        <v>0</v>
      </c>
      <c r="U45" s="241">
        <f>IOTable!U46*'Price Table'!$F46</f>
        <v>0</v>
      </c>
      <c r="V45" s="241">
        <f>IOTable!V46*'Price Table'!$F46</f>
        <v>0</v>
      </c>
      <c r="W45" s="241">
        <f>IOTable!W46*'Price Table'!$F46</f>
        <v>0</v>
      </c>
      <c r="X45" s="241">
        <f>IOTable!X46*'Price Table'!$F46</f>
        <v>10500000</v>
      </c>
      <c r="Y45" s="241">
        <f>IOTable!Y46*'Price Table'!$F46</f>
        <v>0</v>
      </c>
      <c r="Z45" s="241">
        <f>IOTable!Z46*'Price Table'!$F46</f>
        <v>0</v>
      </c>
      <c r="AA45" s="241">
        <f>IOTable!AA46*'Price Table'!$F46</f>
        <v>0</v>
      </c>
      <c r="AB45" s="241">
        <f>IOTable!AB46*'Price Table'!$F46</f>
        <v>0</v>
      </c>
      <c r="AC45" s="241">
        <f>IOTable!AC46*'Price Table'!$F46</f>
        <v>0</v>
      </c>
      <c r="AD45" s="241">
        <f>IOTable!AD46*'Price Table'!$F46</f>
        <v>0</v>
      </c>
      <c r="AE45" s="241">
        <f>IOTable!AE46*'Price Table'!$F46</f>
        <v>0</v>
      </c>
      <c r="AF45" s="241">
        <f>IOTable!AF46*'Price Table'!$F46</f>
        <v>0</v>
      </c>
      <c r="AG45" s="241">
        <f>IOTable!AG46*'Price Table'!$F46</f>
        <v>0</v>
      </c>
    </row>
    <row r="46" spans="1:33">
      <c r="A46" s="238"/>
      <c r="B46" s="265" t="s">
        <v>256</v>
      </c>
      <c r="C46" s="240" t="s">
        <v>58</v>
      </c>
      <c r="D46" s="241">
        <f>IOTable!D47*'Price Table'!$F47</f>
        <v>1050000</v>
      </c>
      <c r="E46" s="241">
        <f>IOTable!E47*'Price Table'!$F47</f>
        <v>1050000</v>
      </c>
      <c r="F46" s="241">
        <f>IOTable!F47*'Price Table'!$F47</f>
        <v>1050000</v>
      </c>
      <c r="G46" s="241">
        <f>IOTable!G47*'Price Table'!$F47</f>
        <v>1050000</v>
      </c>
      <c r="H46" s="241">
        <f>IOTable!H47*'Price Table'!$F47</f>
        <v>1050000</v>
      </c>
      <c r="I46" s="241">
        <f>IOTable!I47*'Price Table'!$F47</f>
        <v>1050000</v>
      </c>
      <c r="J46" s="241">
        <f>IOTable!J47*'Price Table'!$F47</f>
        <v>1050000</v>
      </c>
      <c r="K46" s="241">
        <f>IOTable!K47*'Price Table'!$F47</f>
        <v>1050000</v>
      </c>
      <c r="L46" s="241">
        <f>IOTable!L47*'Price Table'!$F47</f>
        <v>1050000</v>
      </c>
      <c r="M46" s="241">
        <f>IOTable!M47*'Price Table'!$F47</f>
        <v>1050000</v>
      </c>
      <c r="N46" s="241">
        <f>IOTable!N47*'Price Table'!$F47</f>
        <v>1050000</v>
      </c>
      <c r="O46" s="241">
        <f>IOTable!O47*'Price Table'!$F47</f>
        <v>1050000</v>
      </c>
      <c r="P46" s="241">
        <f>IOTable!P47*'Price Table'!$F47</f>
        <v>1050000</v>
      </c>
      <c r="Q46" s="241">
        <f>IOTable!Q47*'Price Table'!$F47</f>
        <v>1050000</v>
      </c>
      <c r="R46" s="241">
        <f>IOTable!R47*'Price Table'!$F47</f>
        <v>1050000</v>
      </c>
      <c r="S46" s="241">
        <f>IOTable!S47*'Price Table'!$F47</f>
        <v>1050000</v>
      </c>
      <c r="T46" s="241">
        <f>IOTable!T47*'Price Table'!$F47</f>
        <v>1050000</v>
      </c>
      <c r="U46" s="241">
        <f>IOTable!U47*'Price Table'!$F47</f>
        <v>1050000</v>
      </c>
      <c r="V46" s="241">
        <f>IOTable!V47*'Price Table'!$F47</f>
        <v>1050000</v>
      </c>
      <c r="W46" s="241">
        <f>IOTable!W47*'Price Table'!$F47</f>
        <v>1050000</v>
      </c>
      <c r="X46" s="241">
        <f>IOTable!X47*'Price Table'!$F47</f>
        <v>1050000</v>
      </c>
      <c r="Y46" s="241">
        <f>IOTable!Y47*'Price Table'!$F47</f>
        <v>1050000</v>
      </c>
      <c r="Z46" s="241">
        <f>IOTable!Z47*'Price Table'!$F47</f>
        <v>1050000</v>
      </c>
      <c r="AA46" s="241">
        <f>IOTable!AA47*'Price Table'!$F47</f>
        <v>1050000</v>
      </c>
      <c r="AB46" s="241">
        <f>IOTable!AB47*'Price Table'!$F47</f>
        <v>1050000</v>
      </c>
      <c r="AC46" s="241">
        <f>IOTable!AC47*'Price Table'!$F47</f>
        <v>1050000</v>
      </c>
      <c r="AD46" s="241">
        <f>IOTable!AD47*'Price Table'!$F47</f>
        <v>1050000</v>
      </c>
      <c r="AE46" s="241">
        <f>IOTable!AE47*'Price Table'!$F47</f>
        <v>1050000</v>
      </c>
      <c r="AF46" s="241">
        <f>IOTable!AF47*'Price Table'!$F47</f>
        <v>1050000</v>
      </c>
      <c r="AG46" s="241">
        <f>IOTable!AG47*'Price Table'!$F47</f>
        <v>1050000</v>
      </c>
    </row>
    <row r="47" spans="1:33">
      <c r="A47" s="238"/>
      <c r="B47" s="248" t="s">
        <v>403</v>
      </c>
      <c r="C47" s="240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1"/>
      <c r="W47" s="241"/>
      <c r="X47" s="241"/>
      <c r="Y47" s="241"/>
      <c r="Z47" s="241"/>
      <c r="AA47" s="241"/>
      <c r="AB47" s="241"/>
      <c r="AC47" s="241"/>
      <c r="AD47" s="241"/>
      <c r="AE47" s="241"/>
      <c r="AF47" s="241"/>
      <c r="AG47" s="241"/>
    </row>
    <row r="48" spans="1:33">
      <c r="A48" s="238"/>
      <c r="B48" s="132" t="s">
        <v>406</v>
      </c>
      <c r="C48" s="240" t="s">
        <v>58</v>
      </c>
      <c r="D48" s="241">
        <f>IOTable!D49*'Price Table'!$F49</f>
        <v>1431750000</v>
      </c>
      <c r="E48" s="241">
        <f>IOTable!E49*'Price Table'!$F49</f>
        <v>1431750000</v>
      </c>
      <c r="F48" s="241">
        <f>IOTable!F49*'Price Table'!$F49</f>
        <v>1431750000</v>
      </c>
      <c r="G48" s="241">
        <f>IOTable!G49*'Price Table'!$F49</f>
        <v>1431750000</v>
      </c>
      <c r="H48" s="241">
        <f>IOTable!H49*'Price Table'!$F49</f>
        <v>1431750000</v>
      </c>
      <c r="I48" s="241">
        <f>IOTable!I49*'Price Table'!$F49</f>
        <v>1431750000</v>
      </c>
      <c r="J48" s="241">
        <f>IOTable!J49*'Price Table'!$F49</f>
        <v>1431750000</v>
      </c>
      <c r="K48" s="241">
        <f>IOTable!K49*'Price Table'!$F49</f>
        <v>1431750000</v>
      </c>
      <c r="L48" s="241">
        <f>IOTable!L49*'Price Table'!$F49</f>
        <v>1431750000</v>
      </c>
      <c r="M48" s="241">
        <f>IOTable!M49*'Price Table'!$F49</f>
        <v>1431750000</v>
      </c>
      <c r="N48" s="241">
        <f>IOTable!N49*'Price Table'!$F49</f>
        <v>1431750000</v>
      </c>
      <c r="O48" s="241">
        <f>IOTable!O49*'Price Table'!$F49</f>
        <v>1431750000</v>
      </c>
      <c r="P48" s="241">
        <f>IOTable!P49*'Price Table'!$F49</f>
        <v>1431750000</v>
      </c>
      <c r="Q48" s="241">
        <f>IOTable!Q49*'Price Table'!$F49</f>
        <v>1431750000</v>
      </c>
      <c r="R48" s="241">
        <f>IOTable!R49*'Price Table'!$F49</f>
        <v>1431750000</v>
      </c>
      <c r="S48" s="241">
        <f>IOTable!S49*'Price Table'!$F49</f>
        <v>1431750000</v>
      </c>
      <c r="T48" s="241">
        <f>IOTable!T49*'Price Table'!$F49</f>
        <v>1431750000</v>
      </c>
      <c r="U48" s="241">
        <f>IOTable!U49*'Price Table'!$F49</f>
        <v>1431750000</v>
      </c>
      <c r="V48" s="241">
        <f>IOTable!V49*'Price Table'!$F49</f>
        <v>1431750000</v>
      </c>
      <c r="W48" s="241">
        <f>IOTable!W49*'Price Table'!$F49</f>
        <v>1431750000</v>
      </c>
      <c r="X48" s="241">
        <f>IOTable!X49*'Price Table'!$F49</f>
        <v>1431750000</v>
      </c>
      <c r="Y48" s="241">
        <f>IOTable!Y49*'Price Table'!$F49</f>
        <v>1431750000</v>
      </c>
      <c r="Z48" s="241">
        <f>IOTable!Z49*'Price Table'!$F49</f>
        <v>1431750000</v>
      </c>
      <c r="AA48" s="241">
        <f>IOTable!AA49*'Price Table'!$F49</f>
        <v>1431750000</v>
      </c>
      <c r="AB48" s="241">
        <f>IOTable!AB49*'Price Table'!$F49</f>
        <v>1431750000</v>
      </c>
      <c r="AC48" s="241">
        <f>IOTable!AC49*'Price Table'!$F49</f>
        <v>1431750000</v>
      </c>
      <c r="AD48" s="241">
        <f>IOTable!AD49*'Price Table'!$F49</f>
        <v>1431750000</v>
      </c>
      <c r="AE48" s="241">
        <f>IOTable!AE49*'Price Table'!$F49</f>
        <v>1431750000</v>
      </c>
      <c r="AF48" s="241">
        <f>IOTable!AF49*'Price Table'!$F49</f>
        <v>1431750000</v>
      </c>
      <c r="AG48" s="241">
        <f>IOTable!AG49*'Price Table'!$F49</f>
        <v>1431750000</v>
      </c>
    </row>
    <row r="49" spans="1:33">
      <c r="A49" s="238"/>
      <c r="B49" s="132" t="s">
        <v>407</v>
      </c>
      <c r="C49" s="240" t="s">
        <v>58</v>
      </c>
      <c r="D49" s="241">
        <f>IOTable!D50*'Price Table'!$F50</f>
        <v>2403749999.9999995</v>
      </c>
      <c r="E49" s="241">
        <f>IOTable!E50*'Price Table'!$F50</f>
        <v>2403749999.9999995</v>
      </c>
      <c r="F49" s="241">
        <f>IOTable!F50*'Price Table'!$F50</f>
        <v>2403749999.9999995</v>
      </c>
      <c r="G49" s="241">
        <f>IOTable!G50*'Price Table'!$F50</f>
        <v>2403749999.9999995</v>
      </c>
      <c r="H49" s="241">
        <f>IOTable!H50*'Price Table'!$F50</f>
        <v>2403749999.9999995</v>
      </c>
      <c r="I49" s="241">
        <f>IOTable!I50*'Price Table'!$F50</f>
        <v>2403749999.9999995</v>
      </c>
      <c r="J49" s="241">
        <f>IOTable!J50*'Price Table'!$F50</f>
        <v>2403749999.9999995</v>
      </c>
      <c r="K49" s="241">
        <f>IOTable!K50*'Price Table'!$F50</f>
        <v>2403749999.9999995</v>
      </c>
      <c r="L49" s="241">
        <f>IOTable!L50*'Price Table'!$F50</f>
        <v>2403749999.9999995</v>
      </c>
      <c r="M49" s="241">
        <f>IOTable!M50*'Price Table'!$F50</f>
        <v>2403749999.9999995</v>
      </c>
      <c r="N49" s="241">
        <f>IOTable!N50*'Price Table'!$F50</f>
        <v>2403749999.9999995</v>
      </c>
      <c r="O49" s="241">
        <f>IOTable!O50*'Price Table'!$F50</f>
        <v>2403749999.9999995</v>
      </c>
      <c r="P49" s="241">
        <f>IOTable!P50*'Price Table'!$F50</f>
        <v>2403749999.9999995</v>
      </c>
      <c r="Q49" s="241">
        <f>IOTable!Q50*'Price Table'!$F50</f>
        <v>2403749999.9999995</v>
      </c>
      <c r="R49" s="241">
        <f>IOTable!R50*'Price Table'!$F50</f>
        <v>2403749999.9999995</v>
      </c>
      <c r="S49" s="241">
        <f>IOTable!S50*'Price Table'!$F50</f>
        <v>2403749999.9999995</v>
      </c>
      <c r="T49" s="241">
        <f>IOTable!T50*'Price Table'!$F50</f>
        <v>2403749999.9999995</v>
      </c>
      <c r="U49" s="241">
        <f>IOTable!U50*'Price Table'!$F50</f>
        <v>2403749999.9999995</v>
      </c>
      <c r="V49" s="241">
        <f>IOTable!V50*'Price Table'!$F50</f>
        <v>2403749999.9999995</v>
      </c>
      <c r="W49" s="241">
        <f>IOTable!W50*'Price Table'!$F50</f>
        <v>2403749999.9999995</v>
      </c>
      <c r="X49" s="241">
        <f>IOTable!X50*'Price Table'!$F50</f>
        <v>2403749999.9999995</v>
      </c>
      <c r="Y49" s="241">
        <f>IOTable!Y50*'Price Table'!$F50</f>
        <v>2403749999.9999995</v>
      </c>
      <c r="Z49" s="241">
        <f>IOTable!Z50*'Price Table'!$F50</f>
        <v>2403749999.9999995</v>
      </c>
      <c r="AA49" s="241">
        <f>IOTable!AA50*'Price Table'!$F50</f>
        <v>2403749999.9999995</v>
      </c>
      <c r="AB49" s="241">
        <f>IOTable!AB50*'Price Table'!$F50</f>
        <v>2403749999.9999995</v>
      </c>
      <c r="AC49" s="241">
        <f>IOTable!AC50*'Price Table'!$F50</f>
        <v>2403749999.9999995</v>
      </c>
      <c r="AD49" s="241">
        <f>IOTable!AD50*'Price Table'!$F50</f>
        <v>2403749999.9999995</v>
      </c>
      <c r="AE49" s="241">
        <f>IOTable!AE50*'Price Table'!$F50</f>
        <v>2403749999.9999995</v>
      </c>
      <c r="AF49" s="241">
        <f>IOTable!AF50*'Price Table'!$F50</f>
        <v>2403749999.9999995</v>
      </c>
      <c r="AG49" s="241">
        <f>IOTable!AG50*'Price Table'!$F50</f>
        <v>2403749999.9999995</v>
      </c>
    </row>
    <row r="50" spans="1:33">
      <c r="A50" s="238"/>
      <c r="B50" s="239" t="s">
        <v>49</v>
      </c>
      <c r="C50" s="240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</row>
    <row r="51" spans="1:33">
      <c r="A51" s="238"/>
      <c r="B51" s="132" t="s">
        <v>400</v>
      </c>
      <c r="C51" s="240" t="s">
        <v>58</v>
      </c>
      <c r="D51" s="241">
        <f>IOTable!D52*'Price Table'!$F52</f>
        <v>0</v>
      </c>
      <c r="E51" s="241">
        <f>IOTable!E52*'Price Table'!$F52</f>
        <v>0</v>
      </c>
      <c r="F51" s="241">
        <f>IOTable!F52*'Price Table'!$F52</f>
        <v>0</v>
      </c>
      <c r="G51" s="241">
        <f>IOTable!G52*'Price Table'!$F52</f>
        <v>0</v>
      </c>
      <c r="H51" s="241">
        <f>IOTable!H52*'Price Table'!$F52</f>
        <v>0</v>
      </c>
      <c r="I51" s="241">
        <f>IOTable!I52*'Price Table'!$F52</f>
        <v>0</v>
      </c>
      <c r="J51" s="241">
        <f>IOTable!J52*'Price Table'!$F52</f>
        <v>0</v>
      </c>
      <c r="K51" s="241">
        <f>IOTable!K52*'Price Table'!$F52</f>
        <v>0</v>
      </c>
      <c r="L51" s="241">
        <f>IOTable!L52*'Price Table'!$F52</f>
        <v>0</v>
      </c>
      <c r="M51" s="241">
        <f>IOTable!M52*'Price Table'!$F52</f>
        <v>0</v>
      </c>
      <c r="N51" s="241">
        <f>IOTable!N52*'Price Table'!$F52</f>
        <v>0</v>
      </c>
      <c r="O51" s="241">
        <f>IOTable!O52*'Price Table'!$F52</f>
        <v>0</v>
      </c>
      <c r="P51" s="241">
        <f>IOTable!P52*'Price Table'!$F52</f>
        <v>0</v>
      </c>
      <c r="Q51" s="241">
        <f>IOTable!Q52*'Price Table'!$F52</f>
        <v>0</v>
      </c>
      <c r="R51" s="241">
        <f>IOTable!R52*'Price Table'!$F52</f>
        <v>0</v>
      </c>
      <c r="S51" s="241">
        <f>IOTable!S52*'Price Table'!$F52</f>
        <v>0</v>
      </c>
      <c r="T51" s="241">
        <f>IOTable!T52*'Price Table'!$F52</f>
        <v>0</v>
      </c>
      <c r="U51" s="241">
        <f>IOTable!U52*'Price Table'!$F52</f>
        <v>0</v>
      </c>
      <c r="V51" s="241">
        <f>IOTable!V52*'Price Table'!$F52</f>
        <v>0</v>
      </c>
      <c r="W51" s="241">
        <f>IOTable!W52*'Price Table'!$F52</f>
        <v>0</v>
      </c>
      <c r="X51" s="241">
        <f>IOTable!X52*'Price Table'!$F52</f>
        <v>0</v>
      </c>
      <c r="Y51" s="241">
        <f>IOTable!Y52*'Price Table'!$F52</f>
        <v>0</v>
      </c>
      <c r="Z51" s="241">
        <f>IOTable!Z52*'Price Table'!$F52</f>
        <v>0</v>
      </c>
      <c r="AA51" s="241">
        <f>IOTable!AA52*'Price Table'!$F52</f>
        <v>0</v>
      </c>
      <c r="AB51" s="241">
        <f>IOTable!AB52*'Price Table'!$F52</f>
        <v>0</v>
      </c>
      <c r="AC51" s="241">
        <f>IOTable!AC52*'Price Table'!$F52</f>
        <v>0</v>
      </c>
      <c r="AD51" s="241">
        <f>IOTable!AD52*'Price Table'!$F52</f>
        <v>0</v>
      </c>
      <c r="AE51" s="241">
        <f>IOTable!AE52*'Price Table'!$F52</f>
        <v>0</v>
      </c>
      <c r="AF51" s="241">
        <f>IOTable!AF52*'Price Table'!$F52</f>
        <v>0</v>
      </c>
      <c r="AG51" s="241">
        <f>IOTable!AG52*'Price Table'!$F52</f>
        <v>0</v>
      </c>
    </row>
    <row r="52" spans="1:33">
      <c r="A52" s="238"/>
      <c r="B52" s="132" t="s">
        <v>401</v>
      </c>
      <c r="C52" s="240" t="s">
        <v>58</v>
      </c>
      <c r="D52" s="241">
        <f>IOTable!D53*'Price Table'!$F53</f>
        <v>0</v>
      </c>
      <c r="E52" s="241">
        <f>IOTable!E53*'Price Table'!$F53</f>
        <v>0</v>
      </c>
      <c r="F52" s="241">
        <f>IOTable!F53*'Price Table'!$F53</f>
        <v>0</v>
      </c>
      <c r="G52" s="241">
        <f>IOTable!G53*'Price Table'!$F53</f>
        <v>0</v>
      </c>
      <c r="H52" s="241">
        <f>IOTable!H53*'Price Table'!$F53</f>
        <v>0</v>
      </c>
      <c r="I52" s="241">
        <f>IOTable!I53*'Price Table'!$F53</f>
        <v>0</v>
      </c>
      <c r="J52" s="241">
        <f>IOTable!J53*'Price Table'!$F53</f>
        <v>0</v>
      </c>
      <c r="K52" s="241">
        <f>IOTable!K53*'Price Table'!$F53</f>
        <v>0</v>
      </c>
      <c r="L52" s="241">
        <f>IOTable!L53*'Price Table'!$F53</f>
        <v>0</v>
      </c>
      <c r="M52" s="241">
        <f>IOTable!M53*'Price Table'!$F53</f>
        <v>0</v>
      </c>
      <c r="N52" s="241">
        <f>IOTable!N53*'Price Table'!$F53</f>
        <v>0</v>
      </c>
      <c r="O52" s="241">
        <f>IOTable!O53*'Price Table'!$F53</f>
        <v>0</v>
      </c>
      <c r="P52" s="241">
        <f>IOTable!P53*'Price Table'!$F53</f>
        <v>0</v>
      </c>
      <c r="Q52" s="241">
        <f>IOTable!Q53*'Price Table'!$F53</f>
        <v>0</v>
      </c>
      <c r="R52" s="241">
        <f>IOTable!R53*'Price Table'!$F53</f>
        <v>0</v>
      </c>
      <c r="S52" s="241">
        <f>IOTable!S53*'Price Table'!$F53</f>
        <v>0</v>
      </c>
      <c r="T52" s="241">
        <f>IOTable!T53*'Price Table'!$F53</f>
        <v>0</v>
      </c>
      <c r="U52" s="241">
        <f>IOTable!U53*'Price Table'!$F53</f>
        <v>0</v>
      </c>
      <c r="V52" s="241">
        <f>IOTable!V53*'Price Table'!$F53</f>
        <v>0</v>
      </c>
      <c r="W52" s="241">
        <f>IOTable!W53*'Price Table'!$F53</f>
        <v>0</v>
      </c>
      <c r="X52" s="241">
        <f>IOTable!X53*'Price Table'!$F53</f>
        <v>0</v>
      </c>
      <c r="Y52" s="241">
        <f>IOTable!Y53*'Price Table'!$F53</f>
        <v>0</v>
      </c>
      <c r="Z52" s="241">
        <f>IOTable!Z53*'Price Table'!$F53</f>
        <v>0</v>
      </c>
      <c r="AA52" s="241">
        <f>IOTable!AA53*'Price Table'!$F53</f>
        <v>0</v>
      </c>
      <c r="AB52" s="241">
        <f>IOTable!AB53*'Price Table'!$F53</f>
        <v>0</v>
      </c>
      <c r="AC52" s="241">
        <f>IOTable!AC53*'Price Table'!$F53</f>
        <v>0</v>
      </c>
      <c r="AD52" s="241">
        <f>IOTable!AD53*'Price Table'!$F53</f>
        <v>0</v>
      </c>
      <c r="AE52" s="241">
        <f>IOTable!AE53*'Price Table'!$F53</f>
        <v>0</v>
      </c>
      <c r="AF52" s="241">
        <f>IOTable!AF53*'Price Table'!$F53</f>
        <v>0</v>
      </c>
      <c r="AG52" s="241">
        <f>IOTable!AG53*'Price Table'!$F53</f>
        <v>0</v>
      </c>
    </row>
    <row r="53" spans="1:33">
      <c r="A53" s="238"/>
      <c r="B53" s="132" t="s">
        <v>402</v>
      </c>
      <c r="C53" s="240" t="s">
        <v>58</v>
      </c>
      <c r="D53" s="241">
        <f>IOTable!D54*'Price Table'!$F54</f>
        <v>0</v>
      </c>
      <c r="E53" s="241">
        <f>IOTable!E54*'Price Table'!$F54</f>
        <v>0</v>
      </c>
      <c r="F53" s="241">
        <f>IOTable!F54*'Price Table'!$F54</f>
        <v>0</v>
      </c>
      <c r="G53" s="241">
        <f>IOTable!G54*'Price Table'!$F54</f>
        <v>0</v>
      </c>
      <c r="H53" s="241">
        <f>IOTable!H54*'Price Table'!$F54</f>
        <v>0</v>
      </c>
      <c r="I53" s="241">
        <f>IOTable!I54*'Price Table'!$F54</f>
        <v>0</v>
      </c>
      <c r="J53" s="241">
        <f>IOTable!J54*'Price Table'!$F54</f>
        <v>0</v>
      </c>
      <c r="K53" s="241">
        <f>IOTable!K54*'Price Table'!$F54</f>
        <v>0</v>
      </c>
      <c r="L53" s="241">
        <f>IOTable!L54*'Price Table'!$F54</f>
        <v>0</v>
      </c>
      <c r="M53" s="241">
        <f>IOTable!M54*'Price Table'!$F54</f>
        <v>0</v>
      </c>
      <c r="N53" s="241">
        <f>IOTable!N54*'Price Table'!$F54</f>
        <v>0</v>
      </c>
      <c r="O53" s="241">
        <f>IOTable!O54*'Price Table'!$F54</f>
        <v>0</v>
      </c>
      <c r="P53" s="241">
        <f>IOTable!P54*'Price Table'!$F54</f>
        <v>0</v>
      </c>
      <c r="Q53" s="241">
        <f>IOTable!Q54*'Price Table'!$F54</f>
        <v>0</v>
      </c>
      <c r="R53" s="241">
        <f>IOTable!R54*'Price Table'!$F54</f>
        <v>0</v>
      </c>
      <c r="S53" s="241">
        <f>IOTable!S54*'Price Table'!$F54</f>
        <v>0</v>
      </c>
      <c r="T53" s="241">
        <f>IOTable!T54*'Price Table'!$F54</f>
        <v>0</v>
      </c>
      <c r="U53" s="241">
        <f>IOTable!U54*'Price Table'!$F54</f>
        <v>0</v>
      </c>
      <c r="V53" s="241">
        <f>IOTable!V54*'Price Table'!$F54</f>
        <v>0</v>
      </c>
      <c r="W53" s="241">
        <f>IOTable!W54*'Price Table'!$F54</f>
        <v>0</v>
      </c>
      <c r="X53" s="241">
        <f>IOTable!X54*'Price Table'!$F54</f>
        <v>0</v>
      </c>
      <c r="Y53" s="241">
        <f>IOTable!Y54*'Price Table'!$F54</f>
        <v>0</v>
      </c>
      <c r="Z53" s="241">
        <f>IOTable!Z54*'Price Table'!$F54</f>
        <v>0</v>
      </c>
      <c r="AA53" s="241">
        <f>IOTable!AA54*'Price Table'!$F54</f>
        <v>0</v>
      </c>
      <c r="AB53" s="241">
        <f>IOTable!AB54*'Price Table'!$F54</f>
        <v>0</v>
      </c>
      <c r="AC53" s="241">
        <f>IOTable!AC54*'Price Table'!$F54</f>
        <v>0</v>
      </c>
      <c r="AD53" s="241">
        <f>IOTable!AD54*'Price Table'!$F54</f>
        <v>0</v>
      </c>
      <c r="AE53" s="241">
        <f>IOTable!AE54*'Price Table'!$F54</f>
        <v>0</v>
      </c>
      <c r="AF53" s="241">
        <f>IOTable!AF54*'Price Table'!$F54</f>
        <v>0</v>
      </c>
      <c r="AG53" s="241">
        <f>IOTable!AG54*'Price Table'!$F54</f>
        <v>0</v>
      </c>
    </row>
    <row r="54" spans="1:33">
      <c r="A54" s="238"/>
      <c r="B54" s="132" t="s">
        <v>408</v>
      </c>
      <c r="C54" s="240" t="s">
        <v>58</v>
      </c>
      <c r="D54" s="241">
        <f>IOTable!D55*'Price Table'!$F55</f>
        <v>0</v>
      </c>
      <c r="E54" s="241">
        <f>IOTable!E55*'Price Table'!$F55</f>
        <v>0</v>
      </c>
      <c r="F54" s="241">
        <f>IOTable!F55*'Price Table'!$F55</f>
        <v>0</v>
      </c>
      <c r="G54" s="241">
        <f>IOTable!G55*'Price Table'!$F55</f>
        <v>0</v>
      </c>
      <c r="H54" s="241">
        <f>IOTable!H55*'Price Table'!$F55</f>
        <v>0</v>
      </c>
      <c r="I54" s="241">
        <f>IOTable!I55*'Price Table'!$F55</f>
        <v>0</v>
      </c>
      <c r="J54" s="241">
        <f>IOTable!J55*'Price Table'!$F55</f>
        <v>0</v>
      </c>
      <c r="K54" s="241">
        <f>IOTable!K55*'Price Table'!$F55</f>
        <v>0</v>
      </c>
      <c r="L54" s="241">
        <f>IOTable!L55*'Price Table'!$F55</f>
        <v>0</v>
      </c>
      <c r="M54" s="241">
        <f>IOTable!M55*'Price Table'!$F55</f>
        <v>0</v>
      </c>
      <c r="N54" s="241">
        <f>IOTable!N55*'Price Table'!$F55</f>
        <v>0</v>
      </c>
      <c r="O54" s="241">
        <f>IOTable!O55*'Price Table'!$F55</f>
        <v>0</v>
      </c>
      <c r="P54" s="241">
        <f>IOTable!P55*'Price Table'!$F55</f>
        <v>0</v>
      </c>
      <c r="Q54" s="241">
        <f>IOTable!Q55*'Price Table'!$F55</f>
        <v>0</v>
      </c>
      <c r="R54" s="241">
        <f>IOTable!R55*'Price Table'!$F55</f>
        <v>0</v>
      </c>
      <c r="S54" s="241">
        <f>IOTable!S55*'Price Table'!$F55</f>
        <v>0</v>
      </c>
      <c r="T54" s="241">
        <f>IOTable!T55*'Price Table'!$F55</f>
        <v>0</v>
      </c>
      <c r="U54" s="241">
        <f>IOTable!U55*'Price Table'!$F55</f>
        <v>0</v>
      </c>
      <c r="V54" s="241">
        <f>IOTable!V55*'Price Table'!$F55</f>
        <v>0</v>
      </c>
      <c r="W54" s="241">
        <f>IOTable!W55*'Price Table'!$F55</f>
        <v>0</v>
      </c>
      <c r="X54" s="241">
        <f>IOTable!X55*'Price Table'!$F55</f>
        <v>0</v>
      </c>
      <c r="Y54" s="241">
        <f>IOTable!Y55*'Price Table'!$F55</f>
        <v>0</v>
      </c>
      <c r="Z54" s="241">
        <f>IOTable!Z55*'Price Table'!$F55</f>
        <v>0</v>
      </c>
      <c r="AA54" s="241">
        <f>IOTable!AA55*'Price Table'!$F55</f>
        <v>0</v>
      </c>
      <c r="AB54" s="241">
        <f>IOTable!AB55*'Price Table'!$F55</f>
        <v>0</v>
      </c>
      <c r="AC54" s="241">
        <f>IOTable!AC55*'Price Table'!$F55</f>
        <v>0</v>
      </c>
      <c r="AD54" s="241">
        <f>IOTable!AD55*'Price Table'!$F55</f>
        <v>0</v>
      </c>
      <c r="AE54" s="241">
        <f>IOTable!AE55*'Price Table'!$F55</f>
        <v>0</v>
      </c>
      <c r="AF54" s="241">
        <f>IOTable!AF55*'Price Table'!$F55</f>
        <v>0</v>
      </c>
      <c r="AG54" s="241">
        <f>IOTable!AG55*'Price Table'!$F55</f>
        <v>0</v>
      </c>
    </row>
    <row r="55" spans="1:33">
      <c r="A55" s="238"/>
      <c r="B55" s="132" t="s">
        <v>409</v>
      </c>
      <c r="C55" s="240" t="s">
        <v>58</v>
      </c>
      <c r="D55" s="241">
        <f>IOTable!D56*'Price Table'!$F56</f>
        <v>0</v>
      </c>
      <c r="E55" s="241">
        <f>IOTable!E56*'Price Table'!$F56</f>
        <v>0</v>
      </c>
      <c r="F55" s="241">
        <f>IOTable!F56*'Price Table'!$F56</f>
        <v>0</v>
      </c>
      <c r="G55" s="241">
        <f>IOTable!G56*'Price Table'!$F56</f>
        <v>0</v>
      </c>
      <c r="H55" s="241">
        <f>IOTable!H56*'Price Table'!$F56</f>
        <v>0</v>
      </c>
      <c r="I55" s="241">
        <f>IOTable!I56*'Price Table'!$F56</f>
        <v>0</v>
      </c>
      <c r="J55" s="241">
        <f>IOTable!J56*'Price Table'!$F56</f>
        <v>0</v>
      </c>
      <c r="K55" s="241">
        <f>IOTable!K56*'Price Table'!$F56</f>
        <v>0</v>
      </c>
      <c r="L55" s="241">
        <f>IOTable!L56*'Price Table'!$F56</f>
        <v>0</v>
      </c>
      <c r="M55" s="241">
        <f>IOTable!M56*'Price Table'!$F56</f>
        <v>0</v>
      </c>
      <c r="N55" s="241">
        <f>IOTable!N56*'Price Table'!$F56</f>
        <v>0</v>
      </c>
      <c r="O55" s="241">
        <f>IOTable!O56*'Price Table'!$F56</f>
        <v>0</v>
      </c>
      <c r="P55" s="241">
        <f>IOTable!P56*'Price Table'!$F56</f>
        <v>0</v>
      </c>
      <c r="Q55" s="241">
        <f>IOTable!Q56*'Price Table'!$F56</f>
        <v>0</v>
      </c>
      <c r="R55" s="241">
        <f>IOTable!R56*'Price Table'!$F56</f>
        <v>0</v>
      </c>
      <c r="S55" s="241">
        <f>IOTable!S56*'Price Table'!$F56</f>
        <v>0</v>
      </c>
      <c r="T55" s="241">
        <f>IOTable!T56*'Price Table'!$F56</f>
        <v>0</v>
      </c>
      <c r="U55" s="241">
        <f>IOTable!U56*'Price Table'!$F56</f>
        <v>0</v>
      </c>
      <c r="V55" s="241">
        <f>IOTable!V56*'Price Table'!$F56</f>
        <v>0</v>
      </c>
      <c r="W55" s="241">
        <f>IOTable!W56*'Price Table'!$F56</f>
        <v>0</v>
      </c>
      <c r="X55" s="241">
        <f>IOTable!X56*'Price Table'!$F56</f>
        <v>0</v>
      </c>
      <c r="Y55" s="241">
        <f>IOTable!Y56*'Price Table'!$F56</f>
        <v>0</v>
      </c>
      <c r="Z55" s="241">
        <f>IOTable!Z56*'Price Table'!$F56</f>
        <v>0</v>
      </c>
      <c r="AA55" s="241">
        <f>IOTable!AA56*'Price Table'!$F56</f>
        <v>0</v>
      </c>
      <c r="AB55" s="241">
        <f>IOTable!AB56*'Price Table'!$F56</f>
        <v>0</v>
      </c>
      <c r="AC55" s="241">
        <f>IOTable!AC56*'Price Table'!$F56</f>
        <v>0</v>
      </c>
      <c r="AD55" s="241">
        <f>IOTable!AD56*'Price Table'!$F56</f>
        <v>0</v>
      </c>
      <c r="AE55" s="241">
        <f>IOTable!AE56*'Price Table'!$F56</f>
        <v>0</v>
      </c>
      <c r="AF55" s="241">
        <f>IOTable!AF56*'Price Table'!$F56</f>
        <v>0</v>
      </c>
      <c r="AG55" s="241">
        <f>IOTable!AG56*'Price Table'!$F56</f>
        <v>0</v>
      </c>
    </row>
    <row r="56" spans="1:33">
      <c r="A56" s="238"/>
      <c r="B56" s="132" t="s">
        <v>410</v>
      </c>
      <c r="C56" s="240" t="s">
        <v>58</v>
      </c>
      <c r="D56" s="241">
        <f>IOTable!D57*'Price Table'!$F57</f>
        <v>0</v>
      </c>
      <c r="E56" s="241">
        <f>IOTable!E57*'Price Table'!$F57</f>
        <v>0</v>
      </c>
      <c r="F56" s="241">
        <f>IOTable!F57*'Price Table'!$F57</f>
        <v>0</v>
      </c>
      <c r="G56" s="241">
        <f>IOTable!G57*'Price Table'!$F57</f>
        <v>0</v>
      </c>
      <c r="H56" s="241">
        <f>IOTable!H57*'Price Table'!$F57</f>
        <v>0</v>
      </c>
      <c r="I56" s="241">
        <f>IOTable!I57*'Price Table'!$F57</f>
        <v>0</v>
      </c>
      <c r="J56" s="241">
        <f>IOTable!J57*'Price Table'!$F57</f>
        <v>0</v>
      </c>
      <c r="K56" s="241">
        <f>IOTable!K57*'Price Table'!$F57</f>
        <v>0</v>
      </c>
      <c r="L56" s="241">
        <f>IOTable!L57*'Price Table'!$F57</f>
        <v>0</v>
      </c>
      <c r="M56" s="241">
        <f>IOTable!M57*'Price Table'!$F57</f>
        <v>0</v>
      </c>
      <c r="N56" s="241">
        <f>IOTable!N57*'Price Table'!$F57</f>
        <v>0</v>
      </c>
      <c r="O56" s="241">
        <f>IOTable!O57*'Price Table'!$F57</f>
        <v>0</v>
      </c>
      <c r="P56" s="241">
        <f>IOTable!P57*'Price Table'!$F57</f>
        <v>0</v>
      </c>
      <c r="Q56" s="241">
        <f>IOTable!Q57*'Price Table'!$F57</f>
        <v>0</v>
      </c>
      <c r="R56" s="241">
        <f>IOTable!R57*'Price Table'!$F57</f>
        <v>0</v>
      </c>
      <c r="S56" s="241">
        <f>IOTable!S57*'Price Table'!$F57</f>
        <v>0</v>
      </c>
      <c r="T56" s="241">
        <f>IOTable!T57*'Price Table'!$F57</f>
        <v>0</v>
      </c>
      <c r="U56" s="241">
        <f>IOTable!U57*'Price Table'!$F57</f>
        <v>0</v>
      </c>
      <c r="V56" s="241">
        <f>IOTable!V57*'Price Table'!$F57</f>
        <v>0</v>
      </c>
      <c r="W56" s="241">
        <f>IOTable!W57*'Price Table'!$F57</f>
        <v>0</v>
      </c>
      <c r="X56" s="241">
        <f>IOTable!X57*'Price Table'!$F57</f>
        <v>0</v>
      </c>
      <c r="Y56" s="241">
        <f>IOTable!Y57*'Price Table'!$F57</f>
        <v>0</v>
      </c>
      <c r="Z56" s="241">
        <f>IOTable!Z57*'Price Table'!$F57</f>
        <v>0</v>
      </c>
      <c r="AA56" s="241">
        <f>IOTable!AA57*'Price Table'!$F57</f>
        <v>0</v>
      </c>
      <c r="AB56" s="241">
        <f>IOTable!AB57*'Price Table'!$F57</f>
        <v>0</v>
      </c>
      <c r="AC56" s="241">
        <f>IOTable!AC57*'Price Table'!$F57</f>
        <v>0</v>
      </c>
      <c r="AD56" s="241">
        <f>IOTable!AD57*'Price Table'!$F57</f>
        <v>0</v>
      </c>
      <c r="AE56" s="241">
        <f>IOTable!AE57*'Price Table'!$F57</f>
        <v>0</v>
      </c>
      <c r="AF56" s="241">
        <f>IOTable!AF57*'Price Table'!$F57</f>
        <v>0</v>
      </c>
      <c r="AG56" s="241">
        <f>IOTable!AG57*'Price Table'!$F57</f>
        <v>0</v>
      </c>
    </row>
    <row r="57" spans="1:33">
      <c r="A57" s="238"/>
      <c r="B57" s="132" t="s">
        <v>1</v>
      </c>
      <c r="C57" s="240" t="s">
        <v>58</v>
      </c>
      <c r="D57" s="241">
        <f>IOTable!D58*'Price Table'!$F58</f>
        <v>0</v>
      </c>
      <c r="E57" s="241">
        <f>IOTable!E58*'Price Table'!$F58</f>
        <v>0</v>
      </c>
      <c r="F57" s="241">
        <f>IOTable!F58*'Price Table'!$F58</f>
        <v>0</v>
      </c>
      <c r="G57" s="241">
        <f>IOTable!G58*'Price Table'!$F58</f>
        <v>0</v>
      </c>
      <c r="H57" s="241">
        <f>IOTable!H58*'Price Table'!$F58</f>
        <v>0</v>
      </c>
      <c r="I57" s="241">
        <f>IOTable!I58*'Price Table'!$F58</f>
        <v>0</v>
      </c>
      <c r="J57" s="241">
        <f>IOTable!J58*'Price Table'!$F58</f>
        <v>0</v>
      </c>
      <c r="K57" s="241">
        <f>IOTable!K58*'Price Table'!$F58</f>
        <v>0</v>
      </c>
      <c r="L57" s="241">
        <f>IOTable!L58*'Price Table'!$F58</f>
        <v>0</v>
      </c>
      <c r="M57" s="241">
        <f>IOTable!M58*'Price Table'!$F58</f>
        <v>0</v>
      </c>
      <c r="N57" s="241">
        <f>IOTable!N58*'Price Table'!$F58</f>
        <v>0</v>
      </c>
      <c r="O57" s="241">
        <f>IOTable!O58*'Price Table'!$F58</f>
        <v>0</v>
      </c>
      <c r="P57" s="241">
        <f>IOTable!P58*'Price Table'!$F58</f>
        <v>0</v>
      </c>
      <c r="Q57" s="241">
        <f>IOTable!Q58*'Price Table'!$F58</f>
        <v>0</v>
      </c>
      <c r="R57" s="241">
        <f>IOTable!R58*'Price Table'!$F58</f>
        <v>0</v>
      </c>
      <c r="S57" s="241">
        <f>IOTable!S58*'Price Table'!$F58</f>
        <v>0</v>
      </c>
      <c r="T57" s="241">
        <f>IOTable!T58*'Price Table'!$F58</f>
        <v>0</v>
      </c>
      <c r="U57" s="241">
        <f>IOTable!U58*'Price Table'!$F58</f>
        <v>0</v>
      </c>
      <c r="V57" s="241">
        <f>IOTable!V58*'Price Table'!$F58</f>
        <v>0</v>
      </c>
      <c r="W57" s="241">
        <f>IOTable!W58*'Price Table'!$F58</f>
        <v>0</v>
      </c>
      <c r="X57" s="241">
        <f>IOTable!X58*'Price Table'!$F58</f>
        <v>0</v>
      </c>
      <c r="Y57" s="241">
        <f>IOTable!Y58*'Price Table'!$F58</f>
        <v>0</v>
      </c>
      <c r="Z57" s="241">
        <f>IOTable!Z58*'Price Table'!$F58</f>
        <v>0</v>
      </c>
      <c r="AA57" s="241">
        <f>IOTable!AA58*'Price Table'!$F58</f>
        <v>0</v>
      </c>
      <c r="AB57" s="241">
        <f>IOTable!AB58*'Price Table'!$F58</f>
        <v>0</v>
      </c>
      <c r="AC57" s="241">
        <f>IOTable!AC58*'Price Table'!$F58</f>
        <v>0</v>
      </c>
      <c r="AD57" s="241">
        <f>IOTable!AD58*'Price Table'!$F58</f>
        <v>0</v>
      </c>
      <c r="AE57" s="241">
        <f>IOTable!AE58*'Price Table'!$F58</f>
        <v>0</v>
      </c>
      <c r="AF57" s="241">
        <f>IOTable!AF58*'Price Table'!$F58</f>
        <v>0</v>
      </c>
      <c r="AG57" s="241">
        <f>IOTable!AG58*'Price Table'!$F58</f>
        <v>0</v>
      </c>
    </row>
    <row r="58" spans="1:33">
      <c r="A58" s="238"/>
      <c r="B58" s="132" t="s">
        <v>50</v>
      </c>
      <c r="C58" s="240" t="s">
        <v>58</v>
      </c>
      <c r="D58" s="241">
        <f>IOTable!D59*'Price Table'!$F59</f>
        <v>0</v>
      </c>
      <c r="E58" s="241">
        <f>IOTable!E59*'Price Table'!$F59</f>
        <v>0</v>
      </c>
      <c r="F58" s="241">
        <f>IOTable!F59*'Price Table'!$F59</f>
        <v>0</v>
      </c>
      <c r="G58" s="241">
        <f>IOTable!G59*'Price Table'!$F59</f>
        <v>0</v>
      </c>
      <c r="H58" s="241">
        <f>IOTable!H59*'Price Table'!$F59</f>
        <v>0</v>
      </c>
      <c r="I58" s="241">
        <f>IOTable!I59*'Price Table'!$F59</f>
        <v>0</v>
      </c>
      <c r="J58" s="241">
        <f>IOTable!J59*'Price Table'!$F59</f>
        <v>0</v>
      </c>
      <c r="K58" s="241">
        <f>IOTable!K59*'Price Table'!$F59</f>
        <v>0</v>
      </c>
      <c r="L58" s="241">
        <f>IOTable!L59*'Price Table'!$F59</f>
        <v>0</v>
      </c>
      <c r="M58" s="241">
        <f>IOTable!M59*'Price Table'!$F59</f>
        <v>0</v>
      </c>
      <c r="N58" s="241">
        <f>IOTable!N59*'Price Table'!$F59</f>
        <v>0</v>
      </c>
      <c r="O58" s="241">
        <f>IOTable!O59*'Price Table'!$F59</f>
        <v>0</v>
      </c>
      <c r="P58" s="241">
        <f>IOTable!P59*'Price Table'!$F59</f>
        <v>0</v>
      </c>
      <c r="Q58" s="241">
        <f>IOTable!Q59*'Price Table'!$F59</f>
        <v>0</v>
      </c>
      <c r="R58" s="241">
        <f>IOTable!R59*'Price Table'!$F59</f>
        <v>0</v>
      </c>
      <c r="S58" s="241">
        <f>IOTable!S59*'Price Table'!$F59</f>
        <v>0</v>
      </c>
      <c r="T58" s="241">
        <f>IOTable!T59*'Price Table'!$F59</f>
        <v>0</v>
      </c>
      <c r="U58" s="241">
        <f>IOTable!U59*'Price Table'!$F59</f>
        <v>0</v>
      </c>
      <c r="V58" s="241">
        <f>IOTable!V59*'Price Table'!$F59</f>
        <v>0</v>
      </c>
      <c r="W58" s="241">
        <f>IOTable!W59*'Price Table'!$F59</f>
        <v>0</v>
      </c>
      <c r="X58" s="241">
        <f>IOTable!X59*'Price Table'!$F59</f>
        <v>0</v>
      </c>
      <c r="Y58" s="241">
        <f>IOTable!Y59*'Price Table'!$F59</f>
        <v>0</v>
      </c>
      <c r="Z58" s="241">
        <f>IOTable!Z59*'Price Table'!$F59</f>
        <v>0</v>
      </c>
      <c r="AA58" s="241">
        <f>IOTable!AA59*'Price Table'!$F59</f>
        <v>0</v>
      </c>
      <c r="AB58" s="241">
        <f>IOTable!AB59*'Price Table'!$F59</f>
        <v>0</v>
      </c>
      <c r="AC58" s="241">
        <f>IOTable!AC59*'Price Table'!$F59</f>
        <v>0</v>
      </c>
      <c r="AD58" s="241">
        <f>IOTable!AD59*'Price Table'!$F59</f>
        <v>0</v>
      </c>
      <c r="AE58" s="241">
        <f>IOTable!AE59*'Price Table'!$F59</f>
        <v>0</v>
      </c>
      <c r="AF58" s="241">
        <f>IOTable!AF59*'Price Table'!$F59</f>
        <v>0</v>
      </c>
      <c r="AG58" s="241">
        <f>IOTable!AG59*'Price Table'!$F59</f>
        <v>0</v>
      </c>
    </row>
    <row r="59" spans="1:33">
      <c r="A59" s="238"/>
      <c r="B59" s="239" t="s">
        <v>51</v>
      </c>
      <c r="C59" s="240" t="s">
        <v>58</v>
      </c>
      <c r="D59" s="241">
        <f>(SUM(D6:D10)+SUM(D19:D30)+SUM(D32:D34))*'Price Table'!$F60</f>
        <v>0</v>
      </c>
      <c r="E59" s="241">
        <f>(SUM(E6:E10)+SUM(E19:E30)+SUM(E32:E34))*'Price Table'!$F60</f>
        <v>0</v>
      </c>
      <c r="F59" s="241">
        <f>(SUM(F6:F10)+SUM(F19:F30)+SUM(F32:F34))*'Price Table'!$F60</f>
        <v>0</v>
      </c>
      <c r="G59" s="241">
        <f>(SUM(G6:G10)+SUM(G19:G30)+SUM(G32:G34))*'Price Table'!$F60</f>
        <v>0</v>
      </c>
      <c r="H59" s="241">
        <f>(SUM(H6:H10)+SUM(H19:H30)+SUM(H32:H34))*'Price Table'!$F60</f>
        <v>0</v>
      </c>
      <c r="I59" s="241">
        <f>(SUM(I6:I10)+SUM(I19:I30)+SUM(I32:I34))*'Price Table'!$F60</f>
        <v>0</v>
      </c>
      <c r="J59" s="241">
        <f>(SUM(J6:J10)+SUM(J19:J30)+SUM(J32:J34))*'Price Table'!$F60</f>
        <v>0</v>
      </c>
      <c r="K59" s="241">
        <f>(SUM(K6:K10)+SUM(K19:K30)+SUM(K32:K34))*'Price Table'!$F60</f>
        <v>0</v>
      </c>
      <c r="L59" s="241">
        <f>(SUM(L6:L10)+SUM(L19:L30)+SUM(L32:L34))*'Price Table'!$F60</f>
        <v>0</v>
      </c>
      <c r="M59" s="241">
        <f>(SUM(M6:M10)+SUM(M19:M30)+SUM(M32:M34))*'Price Table'!$F60</f>
        <v>0</v>
      </c>
      <c r="N59" s="241">
        <f>(SUM(N6:N10)+SUM(N19:N30)+SUM(N32:N34))*'Price Table'!$F60</f>
        <v>0</v>
      </c>
      <c r="O59" s="241">
        <f>(SUM(O6:O10)+SUM(O19:O30)+SUM(O32:O34))*'Price Table'!$F60</f>
        <v>0</v>
      </c>
      <c r="P59" s="241">
        <f>(SUM(P6:P10)+SUM(P19:P30)+SUM(P32:P34))*'Price Table'!$F60</f>
        <v>0</v>
      </c>
      <c r="Q59" s="241">
        <f>(SUM(Q6:Q10)+SUM(Q19:Q30)+SUM(Q32:Q34))*'Price Table'!$F60</f>
        <v>0</v>
      </c>
      <c r="R59" s="241">
        <f>(SUM(R6:R10)+SUM(R19:R30)+SUM(R32:R34))*'Price Table'!$F60</f>
        <v>0</v>
      </c>
      <c r="S59" s="241">
        <f>(SUM(S6:S10)+SUM(S19:S30)+SUM(S32:S34))*'Price Table'!$F60</f>
        <v>0</v>
      </c>
      <c r="T59" s="241">
        <f>(SUM(T6:T10)+SUM(T19:T30)+SUM(T32:T34))*'Price Table'!$F60</f>
        <v>0</v>
      </c>
      <c r="U59" s="241">
        <f>(SUM(U6:U10)+SUM(U19:U30)+SUM(U32:U34))*'Price Table'!$F60</f>
        <v>0</v>
      </c>
      <c r="V59" s="241">
        <f>(SUM(V6:V10)+SUM(V19:V30)+SUM(V32:V34))*'Price Table'!$F60</f>
        <v>0</v>
      </c>
      <c r="W59" s="241">
        <f>(SUM(W6:W10)+SUM(W19:W30)+SUM(W32:W34))*'Price Table'!$F60</f>
        <v>0</v>
      </c>
      <c r="X59" s="241">
        <f>(SUM(X6:X10)+SUM(X19:X30)+SUM(X32:X34))*'Price Table'!$F60</f>
        <v>0</v>
      </c>
      <c r="Y59" s="241">
        <f>(SUM(Y6:Y10)+SUM(Y19:Y30)+SUM(Y32:Y34))*'Price Table'!$F60</f>
        <v>0</v>
      </c>
      <c r="Z59" s="241">
        <f>(SUM(Z6:Z10)+SUM(Z19:Z30)+SUM(Z32:Z34))*'Price Table'!$F60</f>
        <v>0</v>
      </c>
      <c r="AA59" s="241">
        <f>(SUM(AA6:AA10)+SUM(AA19:AA30)+SUM(AA32:AA34))*'Price Table'!$F60</f>
        <v>0</v>
      </c>
      <c r="AB59" s="241">
        <f>(SUM(AB6:AB10)+SUM(AB19:AB30)+SUM(AB32:AB34))*'Price Table'!$F60</f>
        <v>0</v>
      </c>
      <c r="AC59" s="241">
        <f>(SUM(AC6:AC10)+SUM(AC19:AC30)+SUM(AC32:AC34))*'Price Table'!$F60</f>
        <v>0</v>
      </c>
      <c r="AD59" s="241">
        <f>(SUM(AD6:AD10)+SUM(AD19:AD30)+SUM(AD32:AD34))*'Price Table'!$F60</f>
        <v>0</v>
      </c>
      <c r="AE59" s="241">
        <f>(SUM(AE6:AE10)+SUM(AE19:AE30)+SUM(AE32:AE34))*'Price Table'!$F60</f>
        <v>0</v>
      </c>
      <c r="AF59" s="241">
        <f>(SUM(AF6:AF10)+SUM(AF19:AF30)+SUM(AF32:AF34))*'Price Table'!$F60</f>
        <v>0</v>
      </c>
      <c r="AG59" s="241">
        <f>(SUM(AG6:AG10)+SUM(AG19:AG30)+SUM(AG32:AG34))*'Price Table'!$F60</f>
        <v>0</v>
      </c>
    </row>
    <row r="60" spans="1:33">
      <c r="A60" s="238"/>
      <c r="B60" s="239" t="s">
        <v>52</v>
      </c>
      <c r="C60" s="240" t="s">
        <v>58</v>
      </c>
      <c r="D60" s="241">
        <f>(SUM(D6:D10)+SUM(D19:D30)+SUM(D32:D34))*'Price Table'!F61</f>
        <v>6882278360.4214792</v>
      </c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>
        <f>-D60</f>
        <v>-6882278360.4214792</v>
      </c>
      <c r="AC60" s="241">
        <f t="shared" ref="AC60:AG60" si="0">-E60</f>
        <v>0</v>
      </c>
      <c r="AD60" s="241">
        <f t="shared" si="0"/>
        <v>0</v>
      </c>
      <c r="AE60" s="241">
        <f t="shared" si="0"/>
        <v>0</v>
      </c>
      <c r="AF60" s="241">
        <f t="shared" si="0"/>
        <v>0</v>
      </c>
      <c r="AG60" s="241">
        <f t="shared" si="0"/>
        <v>0</v>
      </c>
    </row>
    <row r="61" spans="1:33">
      <c r="A61" s="238"/>
      <c r="B61" s="239"/>
      <c r="C61" s="240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</row>
    <row r="62" spans="1:33" ht="15.6">
      <c r="A62" s="189" t="s">
        <v>54</v>
      </c>
      <c r="B62" s="244"/>
      <c r="C62" s="237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</row>
    <row r="63" spans="1:33">
      <c r="A63" s="238"/>
      <c r="B63" s="248" t="s">
        <v>55</v>
      </c>
      <c r="C63" s="240" t="s">
        <v>58</v>
      </c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</row>
    <row r="64" spans="1:33">
      <c r="A64" s="238"/>
      <c r="B64" s="248" t="s">
        <v>84</v>
      </c>
      <c r="C64" s="240" t="s">
        <v>58</v>
      </c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</row>
    <row r="65" spans="1:33">
      <c r="A65" s="238"/>
      <c r="B65" s="248" t="s">
        <v>85</v>
      </c>
      <c r="C65" s="240" t="s">
        <v>58</v>
      </c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</row>
    <row r="66" spans="1:33">
      <c r="A66" s="238"/>
      <c r="B66" s="248"/>
      <c r="C66" s="240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1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</row>
    <row r="67" spans="1:33" ht="18">
      <c r="A67" s="210" t="s">
        <v>91</v>
      </c>
      <c r="B67" s="254"/>
      <c r="C67" s="237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</row>
    <row r="68" spans="1:33" ht="14.1" customHeight="1">
      <c r="A68" s="255"/>
      <c r="B68" s="270" t="s">
        <v>323</v>
      </c>
      <c r="C68" s="240" t="s">
        <v>58</v>
      </c>
      <c r="D68" s="241">
        <f>IOTable!D69*'Price Table'!$F69</f>
        <v>52039954388.625023</v>
      </c>
      <c r="E68" s="241">
        <f>IOTable!E69*'Price Table'!$F69</f>
        <v>52039954388.625023</v>
      </c>
      <c r="F68" s="241">
        <f>IOTable!F69*'Price Table'!$F69</f>
        <v>52039954388.625023</v>
      </c>
      <c r="G68" s="241">
        <f>IOTable!G69*'Price Table'!$F69</f>
        <v>52039954388.625023</v>
      </c>
      <c r="H68" s="241">
        <f>IOTable!H69*'Price Table'!$F69</f>
        <v>52039954388.625023</v>
      </c>
      <c r="I68" s="241">
        <f>IOTable!I69*'Price Table'!$F69</f>
        <v>52039954388.625023</v>
      </c>
      <c r="J68" s="241">
        <f>IOTable!J69*'Price Table'!$F69</f>
        <v>52039954388.625023</v>
      </c>
      <c r="K68" s="241">
        <f>IOTable!K69*'Price Table'!$F69</f>
        <v>52039954388.625023</v>
      </c>
      <c r="L68" s="241">
        <f>IOTable!L69*'Price Table'!$F69</f>
        <v>52039954388.625023</v>
      </c>
      <c r="M68" s="241">
        <f>IOTable!M69*'Price Table'!$F69</f>
        <v>52039954388.625023</v>
      </c>
      <c r="N68" s="241">
        <f>IOTable!N69*'Price Table'!$F69</f>
        <v>52039954388.625023</v>
      </c>
      <c r="O68" s="241">
        <f>IOTable!O69*'Price Table'!$F69</f>
        <v>52039954388.625023</v>
      </c>
      <c r="P68" s="241">
        <f>IOTable!P69*'Price Table'!$F69</f>
        <v>52039954388.625023</v>
      </c>
      <c r="Q68" s="241">
        <f>IOTable!Q69*'Price Table'!$F69</f>
        <v>52039954388.625023</v>
      </c>
      <c r="R68" s="241">
        <f>IOTable!R69*'Price Table'!$F69</f>
        <v>52039954388.625023</v>
      </c>
      <c r="S68" s="241">
        <f>IOTable!S69*'Price Table'!$F69</f>
        <v>52039954388.625023</v>
      </c>
      <c r="T68" s="241">
        <f>IOTable!T69*'Price Table'!$F69</f>
        <v>52039954388.625023</v>
      </c>
      <c r="U68" s="241">
        <f>IOTable!U69*'Price Table'!$F69</f>
        <v>52039954388.625023</v>
      </c>
      <c r="V68" s="241">
        <f>IOTable!V69*'Price Table'!$F69</f>
        <v>52039954388.625023</v>
      </c>
      <c r="W68" s="241">
        <f>IOTable!W69*'Price Table'!$F69</f>
        <v>52039954388.625023</v>
      </c>
      <c r="X68" s="241">
        <f>IOTable!X69*'Price Table'!$F69</f>
        <v>52039954388.625023</v>
      </c>
      <c r="Y68" s="241">
        <f>IOTable!Y69*'Price Table'!$F69</f>
        <v>52039954388.625023</v>
      </c>
      <c r="Z68" s="241">
        <f>IOTable!Z69*'Price Table'!$F69</f>
        <v>52039954388.625023</v>
      </c>
      <c r="AA68" s="241">
        <f>IOTable!AA69*'Price Table'!$F69</f>
        <v>52039954388.625023</v>
      </c>
      <c r="AB68" s="241">
        <f>IOTable!AB69*'Price Table'!$F69</f>
        <v>52039954388.625023</v>
      </c>
      <c r="AC68" s="241">
        <f>IOTable!AC69*'Price Table'!$F69</f>
        <v>52039954388.625023</v>
      </c>
      <c r="AD68" s="241">
        <f>IOTable!AD69*'Price Table'!$F69</f>
        <v>52039954388.625023</v>
      </c>
      <c r="AE68" s="241">
        <f>IOTable!AE69*'Price Table'!$F69</f>
        <v>52039954388.625023</v>
      </c>
      <c r="AF68" s="241">
        <f>IOTable!AF69*'Price Table'!$F69</f>
        <v>52039954388.625023</v>
      </c>
      <c r="AG68" s="241">
        <f>IOTable!AG69*'Price Table'!$F69</f>
        <v>52039954388.625023</v>
      </c>
    </row>
    <row r="69" spans="1:33" ht="14.1" customHeight="1">
      <c r="A69" s="255"/>
      <c r="B69" s="270" t="s">
        <v>361</v>
      </c>
      <c r="C69" s="240" t="s">
        <v>58</v>
      </c>
      <c r="D69" s="241">
        <f>IOTable!D70*'Price Table'!$F70</f>
        <v>1456570452.9493995</v>
      </c>
      <c r="E69" s="241">
        <f>IOTable!E70*'Price Table'!$F70</f>
        <v>1456570452.9493995</v>
      </c>
      <c r="F69" s="241">
        <f>IOTable!F70*'Price Table'!$F70</f>
        <v>1456570452.9493995</v>
      </c>
      <c r="G69" s="241">
        <f>IOTable!G70*'Price Table'!$F70</f>
        <v>1456570452.9493995</v>
      </c>
      <c r="H69" s="241">
        <f>IOTable!H70*'Price Table'!$F70</f>
        <v>1456570452.9493995</v>
      </c>
      <c r="I69" s="241">
        <f>IOTable!I70*'Price Table'!$F70</f>
        <v>1456570452.9493995</v>
      </c>
      <c r="J69" s="241">
        <f>IOTable!J70*'Price Table'!$F70</f>
        <v>1456570452.9493995</v>
      </c>
      <c r="K69" s="241">
        <f>IOTable!K70*'Price Table'!$F70</f>
        <v>1456570452.9493995</v>
      </c>
      <c r="L69" s="241">
        <f>IOTable!L70*'Price Table'!$F70</f>
        <v>1456570452.9493995</v>
      </c>
      <c r="M69" s="241">
        <f>IOTable!M70*'Price Table'!$F70</f>
        <v>1456570452.9493995</v>
      </c>
      <c r="N69" s="241">
        <f>IOTable!N70*'Price Table'!$F70</f>
        <v>1456570452.9493995</v>
      </c>
      <c r="O69" s="241">
        <f>IOTable!O70*'Price Table'!$F70</f>
        <v>1456570452.9493995</v>
      </c>
      <c r="P69" s="241">
        <f>IOTable!P70*'Price Table'!$F70</f>
        <v>1456570452.9493995</v>
      </c>
      <c r="Q69" s="241">
        <f>IOTable!Q70*'Price Table'!$F70</f>
        <v>1456570452.9493995</v>
      </c>
      <c r="R69" s="241">
        <f>IOTable!R70*'Price Table'!$F70</f>
        <v>1456570452.9493995</v>
      </c>
      <c r="S69" s="241">
        <f>IOTable!S70*'Price Table'!$F70</f>
        <v>1456570452.9493995</v>
      </c>
      <c r="T69" s="241">
        <f>IOTable!T70*'Price Table'!$F70</f>
        <v>1456570452.9493995</v>
      </c>
      <c r="U69" s="241">
        <f>IOTable!U70*'Price Table'!$F70</f>
        <v>1456570452.9493995</v>
      </c>
      <c r="V69" s="241">
        <f>IOTable!V70*'Price Table'!$F70</f>
        <v>1456570452.9493995</v>
      </c>
      <c r="W69" s="241">
        <f>IOTable!W70*'Price Table'!$F70</f>
        <v>1456570452.9493995</v>
      </c>
      <c r="X69" s="241">
        <f>IOTable!X70*'Price Table'!$F70</f>
        <v>1456570452.9493995</v>
      </c>
      <c r="Y69" s="241">
        <f>IOTable!Y70*'Price Table'!$F70</f>
        <v>1456570452.9493995</v>
      </c>
      <c r="Z69" s="241">
        <f>IOTable!Z70*'Price Table'!$F70</f>
        <v>1456570452.9493995</v>
      </c>
      <c r="AA69" s="241">
        <f>IOTable!AA70*'Price Table'!$F70</f>
        <v>1456570452.9493995</v>
      </c>
      <c r="AB69" s="241">
        <f>IOTable!AB70*'Price Table'!$F70</f>
        <v>1456570452.9493995</v>
      </c>
      <c r="AC69" s="241">
        <f>IOTable!AC70*'Price Table'!$F70</f>
        <v>1456570452.9493995</v>
      </c>
      <c r="AD69" s="241">
        <f>IOTable!AD70*'Price Table'!$F70</f>
        <v>1456570452.9493995</v>
      </c>
      <c r="AE69" s="241">
        <f>IOTable!AE70*'Price Table'!$F70</f>
        <v>1456570452.9493995</v>
      </c>
      <c r="AF69" s="241">
        <f>IOTable!AF70*'Price Table'!$F70</f>
        <v>1456570452.9493995</v>
      </c>
      <c r="AG69" s="241">
        <f>IOTable!AG70*'Price Table'!$F70</f>
        <v>1456570452.9493995</v>
      </c>
    </row>
    <row r="70" spans="1:33" ht="14.1" customHeight="1">
      <c r="A70" s="255"/>
      <c r="B70" s="270" t="s">
        <v>332</v>
      </c>
      <c r="C70" s="240" t="s">
        <v>58</v>
      </c>
      <c r="D70" s="241">
        <f>IOTable!D71*'Price Table'!$F71</f>
        <v>158998280.30940747</v>
      </c>
      <c r="E70" s="241">
        <f>IOTable!E71*'Price Table'!$F71</f>
        <v>158998280.30940747</v>
      </c>
      <c r="F70" s="241">
        <f>IOTable!F71*'Price Table'!$F71</f>
        <v>158998280.30940747</v>
      </c>
      <c r="G70" s="241">
        <f>IOTable!G71*'Price Table'!$F71</f>
        <v>158998280.30940747</v>
      </c>
      <c r="H70" s="241">
        <f>IOTable!H71*'Price Table'!$F71</f>
        <v>158998280.30940747</v>
      </c>
      <c r="I70" s="241">
        <f>IOTable!I71*'Price Table'!$F71</f>
        <v>158998280.30940747</v>
      </c>
      <c r="J70" s="241">
        <f>IOTable!J71*'Price Table'!$F71</f>
        <v>158998280.30940747</v>
      </c>
      <c r="K70" s="241">
        <f>IOTable!K71*'Price Table'!$F71</f>
        <v>158998280.30940747</v>
      </c>
      <c r="L70" s="241">
        <f>IOTable!L71*'Price Table'!$F71</f>
        <v>158998280.30940747</v>
      </c>
      <c r="M70" s="241">
        <f>IOTable!M71*'Price Table'!$F71</f>
        <v>158998280.30940747</v>
      </c>
      <c r="N70" s="241">
        <f>IOTable!N71*'Price Table'!$F71</f>
        <v>158998280.30940747</v>
      </c>
      <c r="O70" s="241">
        <f>IOTable!O71*'Price Table'!$F71</f>
        <v>158998280.30940747</v>
      </c>
      <c r="P70" s="241">
        <f>IOTable!P71*'Price Table'!$F71</f>
        <v>158998280.30940747</v>
      </c>
      <c r="Q70" s="241">
        <f>IOTable!Q71*'Price Table'!$F71</f>
        <v>158998280.30940747</v>
      </c>
      <c r="R70" s="241">
        <f>IOTable!R71*'Price Table'!$F71</f>
        <v>158998280.30940747</v>
      </c>
      <c r="S70" s="241">
        <f>IOTable!S71*'Price Table'!$F71</f>
        <v>158998280.30940747</v>
      </c>
      <c r="T70" s="241">
        <f>IOTable!T71*'Price Table'!$F71</f>
        <v>158998280.30940747</v>
      </c>
      <c r="U70" s="241">
        <f>IOTable!U71*'Price Table'!$F71</f>
        <v>158998280.30940747</v>
      </c>
      <c r="V70" s="241">
        <f>IOTable!V71*'Price Table'!$F71</f>
        <v>158998280.30940747</v>
      </c>
      <c r="W70" s="241">
        <f>IOTable!W71*'Price Table'!$F71</f>
        <v>158998280.30940747</v>
      </c>
      <c r="X70" s="241">
        <f>IOTable!X71*'Price Table'!$F71</f>
        <v>158998280.30940747</v>
      </c>
      <c r="Y70" s="241">
        <f>IOTable!Y71*'Price Table'!$F71</f>
        <v>158998280.30940747</v>
      </c>
      <c r="Z70" s="241">
        <f>IOTable!Z71*'Price Table'!$F71</f>
        <v>158998280.30940747</v>
      </c>
      <c r="AA70" s="241">
        <f>IOTable!AA71*'Price Table'!$F71</f>
        <v>158998280.30940747</v>
      </c>
      <c r="AB70" s="241">
        <f>IOTable!AB71*'Price Table'!$F71</f>
        <v>158998280.30940747</v>
      </c>
      <c r="AC70" s="241">
        <f>IOTable!AC71*'Price Table'!$F71</f>
        <v>158998280.30940747</v>
      </c>
      <c r="AD70" s="241">
        <f>IOTable!AD71*'Price Table'!$F71</f>
        <v>158998280.30940747</v>
      </c>
      <c r="AE70" s="241">
        <f>IOTable!AE71*'Price Table'!$F71</f>
        <v>158998280.30940747</v>
      </c>
      <c r="AF70" s="241">
        <f>IOTable!AF71*'Price Table'!$F71</f>
        <v>158998280.30940747</v>
      </c>
      <c r="AG70" s="241">
        <f>IOTable!AG71*'Price Table'!$F71</f>
        <v>158998280.30940747</v>
      </c>
    </row>
    <row r="71" spans="1:33" ht="14.1" customHeight="1">
      <c r="A71" s="255"/>
      <c r="B71" s="271" t="s">
        <v>89</v>
      </c>
      <c r="C71" s="240" t="s">
        <v>58</v>
      </c>
      <c r="D71" s="241">
        <f>SUM(D68:D70)</f>
        <v>53655523121.883835</v>
      </c>
      <c r="E71" s="241">
        <f t="shared" ref="E71:AB71" si="1">SUM(E68:E70)</f>
        <v>53655523121.883835</v>
      </c>
      <c r="F71" s="241">
        <f t="shared" si="1"/>
        <v>53655523121.883835</v>
      </c>
      <c r="G71" s="241">
        <f t="shared" si="1"/>
        <v>53655523121.883835</v>
      </c>
      <c r="H71" s="241">
        <f t="shared" si="1"/>
        <v>53655523121.883835</v>
      </c>
      <c r="I71" s="241">
        <f t="shared" si="1"/>
        <v>53655523121.883835</v>
      </c>
      <c r="J71" s="241">
        <f t="shared" si="1"/>
        <v>53655523121.883835</v>
      </c>
      <c r="K71" s="241">
        <f t="shared" si="1"/>
        <v>53655523121.883835</v>
      </c>
      <c r="L71" s="241">
        <f t="shared" si="1"/>
        <v>53655523121.883835</v>
      </c>
      <c r="M71" s="241">
        <f t="shared" si="1"/>
        <v>53655523121.883835</v>
      </c>
      <c r="N71" s="241">
        <f t="shared" si="1"/>
        <v>53655523121.883835</v>
      </c>
      <c r="O71" s="241">
        <f t="shared" si="1"/>
        <v>53655523121.883835</v>
      </c>
      <c r="P71" s="241">
        <f t="shared" si="1"/>
        <v>53655523121.883835</v>
      </c>
      <c r="Q71" s="241">
        <f t="shared" si="1"/>
        <v>53655523121.883835</v>
      </c>
      <c r="R71" s="241">
        <f t="shared" si="1"/>
        <v>53655523121.883835</v>
      </c>
      <c r="S71" s="241">
        <f t="shared" si="1"/>
        <v>53655523121.883835</v>
      </c>
      <c r="T71" s="241">
        <f t="shared" si="1"/>
        <v>53655523121.883835</v>
      </c>
      <c r="U71" s="241">
        <f t="shared" si="1"/>
        <v>53655523121.883835</v>
      </c>
      <c r="V71" s="241">
        <f t="shared" si="1"/>
        <v>53655523121.883835</v>
      </c>
      <c r="W71" s="241">
        <f t="shared" si="1"/>
        <v>53655523121.883835</v>
      </c>
      <c r="X71" s="241">
        <f t="shared" si="1"/>
        <v>53655523121.883835</v>
      </c>
      <c r="Y71" s="241">
        <f t="shared" si="1"/>
        <v>53655523121.883835</v>
      </c>
      <c r="Z71" s="241">
        <f t="shared" si="1"/>
        <v>53655523121.883835</v>
      </c>
      <c r="AA71" s="241">
        <f t="shared" si="1"/>
        <v>53655523121.883835</v>
      </c>
      <c r="AB71" s="241">
        <f t="shared" si="1"/>
        <v>53655523121.883835</v>
      </c>
      <c r="AC71" s="241">
        <f t="shared" ref="AC71:AG71" si="2">SUM(AC68:AC70)</f>
        <v>53655523121.883835</v>
      </c>
      <c r="AD71" s="241">
        <f t="shared" si="2"/>
        <v>53655523121.883835</v>
      </c>
      <c r="AE71" s="241">
        <f t="shared" si="2"/>
        <v>53655523121.883835</v>
      </c>
      <c r="AF71" s="241">
        <f t="shared" si="2"/>
        <v>53655523121.883835</v>
      </c>
      <c r="AG71" s="241">
        <f t="shared" si="2"/>
        <v>53655523121.883835</v>
      </c>
    </row>
    <row r="72" spans="1:33" ht="18">
      <c r="A72" s="210" t="s">
        <v>92</v>
      </c>
      <c r="B72" s="254"/>
      <c r="C72" s="237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</row>
    <row r="73" spans="1:33" ht="14.1" customHeight="1">
      <c r="A73" s="255"/>
      <c r="B73" s="256" t="s">
        <v>61</v>
      </c>
      <c r="C73" s="240" t="s">
        <v>58</v>
      </c>
      <c r="D73" s="241">
        <f>SUM(D6:D10)</f>
        <v>826309463.14972031</v>
      </c>
      <c r="E73" s="241">
        <f t="shared" ref="E73:AB73" si="3">SUM(E6:E10)</f>
        <v>826309463.14972031</v>
      </c>
      <c r="F73" s="241">
        <f t="shared" si="3"/>
        <v>826309463.14972031</v>
      </c>
      <c r="G73" s="241">
        <f t="shared" si="3"/>
        <v>826309463.14972031</v>
      </c>
      <c r="H73" s="241">
        <f t="shared" si="3"/>
        <v>826309463.14972031</v>
      </c>
      <c r="I73" s="241">
        <f t="shared" si="3"/>
        <v>826309463.14972031</v>
      </c>
      <c r="J73" s="241">
        <f t="shared" si="3"/>
        <v>826309463.14972031</v>
      </c>
      <c r="K73" s="241">
        <f t="shared" si="3"/>
        <v>826309463.14972031</v>
      </c>
      <c r="L73" s="241">
        <f t="shared" si="3"/>
        <v>826309463.14972031</v>
      </c>
      <c r="M73" s="241">
        <f t="shared" si="3"/>
        <v>826309463.14972031</v>
      </c>
      <c r="N73" s="241">
        <f t="shared" si="3"/>
        <v>826309463.14972031</v>
      </c>
      <c r="O73" s="241">
        <f t="shared" si="3"/>
        <v>826309463.14972031</v>
      </c>
      <c r="P73" s="241">
        <f t="shared" si="3"/>
        <v>826309463.14972031</v>
      </c>
      <c r="Q73" s="241">
        <f t="shared" si="3"/>
        <v>826309463.14972031</v>
      </c>
      <c r="R73" s="241">
        <f t="shared" si="3"/>
        <v>826309463.14972031</v>
      </c>
      <c r="S73" s="241">
        <f t="shared" si="3"/>
        <v>826309463.14972031</v>
      </c>
      <c r="T73" s="241">
        <f t="shared" si="3"/>
        <v>826309463.14972031</v>
      </c>
      <c r="U73" s="241">
        <f t="shared" si="3"/>
        <v>826309463.14972031</v>
      </c>
      <c r="V73" s="241">
        <f t="shared" si="3"/>
        <v>826309463.14972031</v>
      </c>
      <c r="W73" s="241">
        <f t="shared" si="3"/>
        <v>826309463.14972031</v>
      </c>
      <c r="X73" s="241">
        <f t="shared" si="3"/>
        <v>826309463.14972031</v>
      </c>
      <c r="Y73" s="241">
        <f t="shared" si="3"/>
        <v>826309463.14972031</v>
      </c>
      <c r="Z73" s="241">
        <f t="shared" si="3"/>
        <v>826309463.14972031</v>
      </c>
      <c r="AA73" s="241">
        <f t="shared" si="3"/>
        <v>826309463.14972031</v>
      </c>
      <c r="AB73" s="241">
        <f t="shared" si="3"/>
        <v>826309463.14972031</v>
      </c>
      <c r="AC73" s="241">
        <f t="shared" ref="AC73:AG73" si="4">SUM(AC6:AC10)</f>
        <v>863249721.14972031</v>
      </c>
      <c r="AD73" s="241">
        <f t="shared" si="4"/>
        <v>900189979.14972031</v>
      </c>
      <c r="AE73" s="241">
        <f t="shared" si="4"/>
        <v>937130237.14972031</v>
      </c>
      <c r="AF73" s="241">
        <f t="shared" si="4"/>
        <v>974070495.14972031</v>
      </c>
      <c r="AG73" s="241">
        <f t="shared" si="4"/>
        <v>1011010753.1497203</v>
      </c>
    </row>
    <row r="74" spans="1:33" ht="14.1" customHeight="1">
      <c r="A74" s="255"/>
      <c r="B74" s="256" t="s">
        <v>72</v>
      </c>
      <c r="C74" s="240" t="s">
        <v>58</v>
      </c>
      <c r="D74" s="241">
        <f>SUM(D13:D14)</f>
        <v>119430260376.04375</v>
      </c>
      <c r="E74" s="241">
        <f t="shared" ref="E74:AB74" si="5">SUM(E13:E14)</f>
        <v>0</v>
      </c>
      <c r="F74" s="241">
        <f t="shared" si="5"/>
        <v>0</v>
      </c>
      <c r="G74" s="241">
        <f t="shared" si="5"/>
        <v>0</v>
      </c>
      <c r="H74" s="241">
        <f t="shared" si="5"/>
        <v>0</v>
      </c>
      <c r="I74" s="241">
        <f t="shared" si="5"/>
        <v>1354797719.1500001</v>
      </c>
      <c r="J74" s="241">
        <f t="shared" si="5"/>
        <v>0</v>
      </c>
      <c r="K74" s="241">
        <f t="shared" si="5"/>
        <v>0</v>
      </c>
      <c r="L74" s="241">
        <f t="shared" si="5"/>
        <v>0</v>
      </c>
      <c r="M74" s="241">
        <f t="shared" si="5"/>
        <v>0</v>
      </c>
      <c r="N74" s="241">
        <f t="shared" si="5"/>
        <v>119430260376.04375</v>
      </c>
      <c r="O74" s="241">
        <f t="shared" si="5"/>
        <v>0</v>
      </c>
      <c r="P74" s="241">
        <f t="shared" si="5"/>
        <v>0</v>
      </c>
      <c r="Q74" s="241">
        <f t="shared" si="5"/>
        <v>0</v>
      </c>
      <c r="R74" s="241">
        <f t="shared" si="5"/>
        <v>0</v>
      </c>
      <c r="S74" s="241">
        <f t="shared" si="5"/>
        <v>1354797719.1500001</v>
      </c>
      <c r="T74" s="241">
        <f t="shared" si="5"/>
        <v>0</v>
      </c>
      <c r="U74" s="241">
        <f t="shared" si="5"/>
        <v>0</v>
      </c>
      <c r="V74" s="241">
        <f t="shared" si="5"/>
        <v>0</v>
      </c>
      <c r="W74" s="241">
        <f t="shared" si="5"/>
        <v>0</v>
      </c>
      <c r="X74" s="241">
        <f t="shared" si="5"/>
        <v>0</v>
      </c>
      <c r="Y74" s="241">
        <f t="shared" si="5"/>
        <v>119430260376.04375</v>
      </c>
      <c r="Z74" s="241">
        <f t="shared" si="5"/>
        <v>0</v>
      </c>
      <c r="AA74" s="241">
        <f t="shared" si="5"/>
        <v>0</v>
      </c>
      <c r="AB74" s="241">
        <f t="shared" si="5"/>
        <v>0</v>
      </c>
      <c r="AC74" s="241">
        <f t="shared" ref="AC74:AG74" si="6">SUM(AC13:AC14)</f>
        <v>0</v>
      </c>
      <c r="AD74" s="241">
        <f t="shared" si="6"/>
        <v>0</v>
      </c>
      <c r="AE74" s="241">
        <f t="shared" si="6"/>
        <v>0</v>
      </c>
      <c r="AF74" s="241">
        <f t="shared" si="6"/>
        <v>0</v>
      </c>
      <c r="AG74" s="241">
        <f t="shared" si="6"/>
        <v>0</v>
      </c>
    </row>
    <row r="75" spans="1:33" ht="14.1" customHeight="1">
      <c r="A75" s="255"/>
      <c r="B75" s="256" t="s">
        <v>93</v>
      </c>
      <c r="C75" s="240" t="s">
        <v>58</v>
      </c>
      <c r="D75" s="241">
        <f>SUM(D76:D78)</f>
        <v>22114618404.921883</v>
      </c>
      <c r="E75" s="241">
        <f t="shared" ref="E75:AB75" si="7">SUM(E76:E78)</f>
        <v>22114618404.921883</v>
      </c>
      <c r="F75" s="241">
        <f t="shared" si="7"/>
        <v>22114618404.921883</v>
      </c>
      <c r="G75" s="241">
        <f t="shared" si="7"/>
        <v>22114618404.921883</v>
      </c>
      <c r="H75" s="241">
        <f t="shared" si="7"/>
        <v>22114618404.921883</v>
      </c>
      <c r="I75" s="241">
        <f t="shared" si="7"/>
        <v>22114618404.921883</v>
      </c>
      <c r="J75" s="241">
        <f t="shared" si="7"/>
        <v>22114618404.921883</v>
      </c>
      <c r="K75" s="241">
        <f t="shared" si="7"/>
        <v>22114618404.921883</v>
      </c>
      <c r="L75" s="241">
        <f t="shared" si="7"/>
        <v>22114618404.921883</v>
      </c>
      <c r="M75" s="241">
        <f t="shared" si="7"/>
        <v>22114618404.921883</v>
      </c>
      <c r="N75" s="241">
        <f t="shared" si="7"/>
        <v>22114618404.921883</v>
      </c>
      <c r="O75" s="241">
        <f t="shared" si="7"/>
        <v>22114618404.921883</v>
      </c>
      <c r="P75" s="241">
        <f t="shared" si="7"/>
        <v>22114618404.921883</v>
      </c>
      <c r="Q75" s="241">
        <f t="shared" si="7"/>
        <v>22114618404.921883</v>
      </c>
      <c r="R75" s="241">
        <f t="shared" si="7"/>
        <v>22114618404.921883</v>
      </c>
      <c r="S75" s="241">
        <f t="shared" si="7"/>
        <v>22114618404.921883</v>
      </c>
      <c r="T75" s="241">
        <f t="shared" si="7"/>
        <v>22114618404.921883</v>
      </c>
      <c r="U75" s="241">
        <f t="shared" si="7"/>
        <v>22114618404.921883</v>
      </c>
      <c r="V75" s="241">
        <f t="shared" si="7"/>
        <v>22114618404.921883</v>
      </c>
      <c r="W75" s="241">
        <f t="shared" si="7"/>
        <v>22114618404.921883</v>
      </c>
      <c r="X75" s="241">
        <f t="shared" si="7"/>
        <v>22114618404.921883</v>
      </c>
      <c r="Y75" s="241">
        <f t="shared" si="7"/>
        <v>22114618404.921883</v>
      </c>
      <c r="Z75" s="241">
        <f t="shared" si="7"/>
        <v>22114618404.921883</v>
      </c>
      <c r="AA75" s="241">
        <f t="shared" si="7"/>
        <v>22114618404.921883</v>
      </c>
      <c r="AB75" s="241">
        <f t="shared" si="7"/>
        <v>22114618404.921883</v>
      </c>
      <c r="AC75" s="241">
        <f t="shared" ref="AC75:AG75" si="8">SUM(AC76:AC78)</f>
        <v>22114618404.921883</v>
      </c>
      <c r="AD75" s="241">
        <f t="shared" si="8"/>
        <v>22114618404.921883</v>
      </c>
      <c r="AE75" s="241">
        <f t="shared" si="8"/>
        <v>22114618404.921883</v>
      </c>
      <c r="AF75" s="241">
        <f t="shared" si="8"/>
        <v>22114618404.921883</v>
      </c>
      <c r="AG75" s="241">
        <f t="shared" si="8"/>
        <v>22114618404.921883</v>
      </c>
    </row>
    <row r="76" spans="1:33" ht="14.1" customHeight="1">
      <c r="A76" s="255"/>
      <c r="B76" s="272" t="s">
        <v>94</v>
      </c>
      <c r="C76" s="240" t="s">
        <v>58</v>
      </c>
      <c r="D76" s="241">
        <f>D19</f>
        <v>11880000000</v>
      </c>
      <c r="E76" s="241">
        <f t="shared" ref="E76:AB76" si="9">E19</f>
        <v>11880000000</v>
      </c>
      <c r="F76" s="241">
        <f t="shared" si="9"/>
        <v>11880000000</v>
      </c>
      <c r="G76" s="241">
        <f t="shared" si="9"/>
        <v>11880000000</v>
      </c>
      <c r="H76" s="241">
        <f t="shared" si="9"/>
        <v>11880000000</v>
      </c>
      <c r="I76" s="241">
        <f t="shared" si="9"/>
        <v>11880000000</v>
      </c>
      <c r="J76" s="241">
        <f t="shared" si="9"/>
        <v>11880000000</v>
      </c>
      <c r="K76" s="241">
        <f t="shared" si="9"/>
        <v>11880000000</v>
      </c>
      <c r="L76" s="241">
        <f t="shared" si="9"/>
        <v>11880000000</v>
      </c>
      <c r="M76" s="241">
        <f t="shared" si="9"/>
        <v>11880000000</v>
      </c>
      <c r="N76" s="241">
        <f t="shared" si="9"/>
        <v>11880000000</v>
      </c>
      <c r="O76" s="241">
        <f t="shared" si="9"/>
        <v>11880000000</v>
      </c>
      <c r="P76" s="241">
        <f t="shared" si="9"/>
        <v>11880000000</v>
      </c>
      <c r="Q76" s="241">
        <f t="shared" si="9"/>
        <v>11880000000</v>
      </c>
      <c r="R76" s="241">
        <f t="shared" si="9"/>
        <v>11880000000</v>
      </c>
      <c r="S76" s="241">
        <f t="shared" si="9"/>
        <v>11880000000</v>
      </c>
      <c r="T76" s="241">
        <f t="shared" si="9"/>
        <v>11880000000</v>
      </c>
      <c r="U76" s="241">
        <f t="shared" si="9"/>
        <v>11880000000</v>
      </c>
      <c r="V76" s="241">
        <f t="shared" si="9"/>
        <v>11880000000</v>
      </c>
      <c r="W76" s="241">
        <f t="shared" si="9"/>
        <v>11880000000</v>
      </c>
      <c r="X76" s="241">
        <f t="shared" si="9"/>
        <v>11880000000</v>
      </c>
      <c r="Y76" s="241">
        <f t="shared" si="9"/>
        <v>11880000000</v>
      </c>
      <c r="Z76" s="241">
        <f t="shared" si="9"/>
        <v>11880000000</v>
      </c>
      <c r="AA76" s="241">
        <f t="shared" si="9"/>
        <v>11880000000</v>
      </c>
      <c r="AB76" s="241">
        <f t="shared" si="9"/>
        <v>11880000000</v>
      </c>
      <c r="AC76" s="241">
        <f t="shared" ref="AC76:AG76" si="10">AC19</f>
        <v>11880000000</v>
      </c>
      <c r="AD76" s="241">
        <f t="shared" si="10"/>
        <v>11880000000</v>
      </c>
      <c r="AE76" s="241">
        <f t="shared" si="10"/>
        <v>11880000000</v>
      </c>
      <c r="AF76" s="241">
        <f t="shared" si="10"/>
        <v>11880000000</v>
      </c>
      <c r="AG76" s="241">
        <f t="shared" si="10"/>
        <v>11880000000</v>
      </c>
    </row>
    <row r="77" spans="1:33" ht="14.1" customHeight="1">
      <c r="A77" s="255"/>
      <c r="B77" s="272" t="s">
        <v>95</v>
      </c>
      <c r="C77" s="240" t="s">
        <v>58</v>
      </c>
      <c r="D77" s="241">
        <f t="shared" ref="D77:AB77" si="11">SUM(D21:D30)</f>
        <v>9577618404.9218826</v>
      </c>
      <c r="E77" s="241">
        <f t="shared" si="11"/>
        <v>9577618404.9218826</v>
      </c>
      <c r="F77" s="241">
        <f t="shared" si="11"/>
        <v>9577618404.9218826</v>
      </c>
      <c r="G77" s="241">
        <f t="shared" si="11"/>
        <v>9577618404.9218826</v>
      </c>
      <c r="H77" s="241">
        <f t="shared" si="11"/>
        <v>9577618404.9218826</v>
      </c>
      <c r="I77" s="241">
        <f t="shared" si="11"/>
        <v>9577618404.9218826</v>
      </c>
      <c r="J77" s="241">
        <f t="shared" si="11"/>
        <v>9577618404.9218826</v>
      </c>
      <c r="K77" s="241">
        <f t="shared" si="11"/>
        <v>9577618404.9218826</v>
      </c>
      <c r="L77" s="241">
        <f t="shared" si="11"/>
        <v>9577618404.9218826</v>
      </c>
      <c r="M77" s="241">
        <f t="shared" si="11"/>
        <v>9577618404.9218826</v>
      </c>
      <c r="N77" s="241">
        <f t="shared" si="11"/>
        <v>9577618404.9218826</v>
      </c>
      <c r="O77" s="241">
        <f t="shared" si="11"/>
        <v>9577618404.9218826</v>
      </c>
      <c r="P77" s="241">
        <f t="shared" si="11"/>
        <v>9577618404.9218826</v>
      </c>
      <c r="Q77" s="241">
        <f t="shared" si="11"/>
        <v>9577618404.9218826</v>
      </c>
      <c r="R77" s="241">
        <f t="shared" si="11"/>
        <v>9577618404.9218826</v>
      </c>
      <c r="S77" s="241">
        <f t="shared" si="11"/>
        <v>9577618404.9218826</v>
      </c>
      <c r="T77" s="241">
        <f t="shared" si="11"/>
        <v>9577618404.9218826</v>
      </c>
      <c r="U77" s="241">
        <f t="shared" si="11"/>
        <v>9577618404.9218826</v>
      </c>
      <c r="V77" s="241">
        <f t="shared" si="11"/>
        <v>9577618404.9218826</v>
      </c>
      <c r="W77" s="241">
        <f t="shared" si="11"/>
        <v>9577618404.9218826</v>
      </c>
      <c r="X77" s="241">
        <f t="shared" si="11"/>
        <v>9577618404.9218826</v>
      </c>
      <c r="Y77" s="241">
        <f t="shared" si="11"/>
        <v>9577618404.9218826</v>
      </c>
      <c r="Z77" s="241">
        <f t="shared" si="11"/>
        <v>9577618404.9218826</v>
      </c>
      <c r="AA77" s="241">
        <f t="shared" si="11"/>
        <v>9577618404.9218826</v>
      </c>
      <c r="AB77" s="241">
        <f t="shared" si="11"/>
        <v>9577618404.9218826</v>
      </c>
      <c r="AC77" s="241">
        <f t="shared" ref="AC77:AG77" si="12">SUM(AC21:AC30)</f>
        <v>9577618404.9218826</v>
      </c>
      <c r="AD77" s="241">
        <f t="shared" si="12"/>
        <v>9577618404.9218826</v>
      </c>
      <c r="AE77" s="241">
        <f t="shared" si="12"/>
        <v>9577618404.9218826</v>
      </c>
      <c r="AF77" s="241">
        <f t="shared" si="12"/>
        <v>9577618404.9218826</v>
      </c>
      <c r="AG77" s="241">
        <f t="shared" si="12"/>
        <v>9577618404.9218826</v>
      </c>
    </row>
    <row r="78" spans="1:33" ht="14.1" customHeight="1">
      <c r="A78" s="255"/>
      <c r="B78" s="272" t="s">
        <v>63</v>
      </c>
      <c r="C78" s="240" t="s">
        <v>58</v>
      </c>
      <c r="D78" s="241">
        <f>SUM(D32:D34)</f>
        <v>657000000</v>
      </c>
      <c r="E78" s="241">
        <f t="shared" ref="E78:AB78" si="13">SUM(E32:E34)</f>
        <v>657000000</v>
      </c>
      <c r="F78" s="241">
        <f t="shared" si="13"/>
        <v>657000000</v>
      </c>
      <c r="G78" s="241">
        <f t="shared" si="13"/>
        <v>657000000</v>
      </c>
      <c r="H78" s="241">
        <f t="shared" si="13"/>
        <v>657000000</v>
      </c>
      <c r="I78" s="241">
        <f t="shared" si="13"/>
        <v>657000000</v>
      </c>
      <c r="J78" s="241">
        <f t="shared" si="13"/>
        <v>657000000</v>
      </c>
      <c r="K78" s="241">
        <f t="shared" si="13"/>
        <v>657000000</v>
      </c>
      <c r="L78" s="241">
        <f t="shared" si="13"/>
        <v>657000000</v>
      </c>
      <c r="M78" s="241">
        <f t="shared" si="13"/>
        <v>657000000</v>
      </c>
      <c r="N78" s="241">
        <f t="shared" si="13"/>
        <v>657000000</v>
      </c>
      <c r="O78" s="241">
        <f t="shared" si="13"/>
        <v>657000000</v>
      </c>
      <c r="P78" s="241">
        <f t="shared" si="13"/>
        <v>657000000</v>
      </c>
      <c r="Q78" s="241">
        <f t="shared" si="13"/>
        <v>657000000</v>
      </c>
      <c r="R78" s="241">
        <f t="shared" si="13"/>
        <v>657000000</v>
      </c>
      <c r="S78" s="241">
        <f t="shared" si="13"/>
        <v>657000000</v>
      </c>
      <c r="T78" s="241">
        <f t="shared" si="13"/>
        <v>657000000</v>
      </c>
      <c r="U78" s="241">
        <f t="shared" si="13"/>
        <v>657000000</v>
      </c>
      <c r="V78" s="241">
        <f t="shared" si="13"/>
        <v>657000000</v>
      </c>
      <c r="W78" s="241">
        <f t="shared" si="13"/>
        <v>657000000</v>
      </c>
      <c r="X78" s="241">
        <f t="shared" si="13"/>
        <v>657000000</v>
      </c>
      <c r="Y78" s="241">
        <f t="shared" si="13"/>
        <v>657000000</v>
      </c>
      <c r="Z78" s="241">
        <f t="shared" si="13"/>
        <v>657000000</v>
      </c>
      <c r="AA78" s="241">
        <f t="shared" si="13"/>
        <v>657000000</v>
      </c>
      <c r="AB78" s="241">
        <f t="shared" si="13"/>
        <v>657000000</v>
      </c>
      <c r="AC78" s="241">
        <f t="shared" ref="AC78:AG78" si="14">SUM(AC32:AC34)</f>
        <v>657000000</v>
      </c>
      <c r="AD78" s="241">
        <f t="shared" si="14"/>
        <v>657000000</v>
      </c>
      <c r="AE78" s="241">
        <f t="shared" si="14"/>
        <v>657000000</v>
      </c>
      <c r="AF78" s="241">
        <f t="shared" si="14"/>
        <v>657000000</v>
      </c>
      <c r="AG78" s="241">
        <f t="shared" si="14"/>
        <v>657000000</v>
      </c>
    </row>
    <row r="79" spans="1:33" ht="14.1" customHeight="1">
      <c r="A79" s="255"/>
      <c r="B79" s="256" t="s">
        <v>73</v>
      </c>
      <c r="C79" s="240" t="s">
        <v>58</v>
      </c>
      <c r="D79" s="241">
        <f t="shared" ref="D79:AB79" si="15">SUM(D37:D60)+D74</f>
        <v>130334315299.66522</v>
      </c>
      <c r="E79" s="241">
        <f t="shared" si="15"/>
        <v>3942276563.1999998</v>
      </c>
      <c r="F79" s="241">
        <f t="shared" si="15"/>
        <v>3942276563.1999998</v>
      </c>
      <c r="G79" s="241">
        <f t="shared" si="15"/>
        <v>3942276563.1999998</v>
      </c>
      <c r="H79" s="241">
        <f t="shared" si="15"/>
        <v>3942276563.1999998</v>
      </c>
      <c r="I79" s="241">
        <f t="shared" si="15"/>
        <v>5307574282.3500004</v>
      </c>
      <c r="J79" s="241">
        <f t="shared" si="15"/>
        <v>3942276563.1999998</v>
      </c>
      <c r="K79" s="241">
        <f t="shared" si="15"/>
        <v>3942276563.1999998</v>
      </c>
      <c r="L79" s="241">
        <f t="shared" si="15"/>
        <v>3942276563.1999998</v>
      </c>
      <c r="M79" s="241">
        <f t="shared" si="15"/>
        <v>3942276563.1999998</v>
      </c>
      <c r="N79" s="241">
        <f t="shared" si="15"/>
        <v>123383036939.24374</v>
      </c>
      <c r="O79" s="241">
        <f t="shared" si="15"/>
        <v>3942276563.1999998</v>
      </c>
      <c r="P79" s="241">
        <f t="shared" si="15"/>
        <v>3942276563.1999998</v>
      </c>
      <c r="Q79" s="241">
        <f t="shared" si="15"/>
        <v>3942276563.1999998</v>
      </c>
      <c r="R79" s="241">
        <f t="shared" si="15"/>
        <v>3942276563.1999998</v>
      </c>
      <c r="S79" s="241">
        <f t="shared" si="15"/>
        <v>5307574282.3500004</v>
      </c>
      <c r="T79" s="241">
        <f t="shared" si="15"/>
        <v>3942276563.1999998</v>
      </c>
      <c r="U79" s="241">
        <f t="shared" si="15"/>
        <v>3942276563.1999998</v>
      </c>
      <c r="V79" s="241">
        <f t="shared" si="15"/>
        <v>3942276563.1999998</v>
      </c>
      <c r="W79" s="241">
        <f t="shared" si="15"/>
        <v>3942276563.1999998</v>
      </c>
      <c r="X79" s="241">
        <f t="shared" si="15"/>
        <v>4113776563.1999998</v>
      </c>
      <c r="Y79" s="241">
        <f t="shared" si="15"/>
        <v>123372536939.24374</v>
      </c>
      <c r="Z79" s="241">
        <f t="shared" si="15"/>
        <v>3942276563.1999998</v>
      </c>
      <c r="AA79" s="241">
        <f t="shared" si="15"/>
        <v>3942276563.1999998</v>
      </c>
      <c r="AB79" s="241">
        <f t="shared" si="15"/>
        <v>-2940001797.2214794</v>
      </c>
      <c r="AC79" s="241">
        <f t="shared" ref="AC79:AG79" si="16">SUM(AC37:AC60)+AC74</f>
        <v>3942278163.1999998</v>
      </c>
      <c r="AD79" s="241">
        <f t="shared" si="16"/>
        <v>3942279763.1999998</v>
      </c>
      <c r="AE79" s="241">
        <f t="shared" si="16"/>
        <v>3942281363.1999998</v>
      </c>
      <c r="AF79" s="241">
        <f t="shared" si="16"/>
        <v>3942282963.1999998</v>
      </c>
      <c r="AG79" s="241">
        <f t="shared" si="16"/>
        <v>3942284563.1999998</v>
      </c>
    </row>
    <row r="80" spans="1:33" ht="14.1" customHeight="1">
      <c r="A80" s="255"/>
      <c r="B80" s="256"/>
      <c r="C80" s="240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1"/>
    </row>
    <row r="81" spans="1:33" ht="18">
      <c r="A81" s="210" t="s">
        <v>96</v>
      </c>
      <c r="B81" s="254"/>
      <c r="C81" s="237" t="s">
        <v>58</v>
      </c>
      <c r="D81" s="100">
        <f>D71-D73-D75-D79</f>
        <v>-99619720045.852997</v>
      </c>
      <c r="E81" s="100">
        <f t="shared" ref="E81:AB81" si="17">E71-E73-E75-E79</f>
        <v>26772318690.612232</v>
      </c>
      <c r="F81" s="100">
        <f t="shared" si="17"/>
        <v>26772318690.612232</v>
      </c>
      <c r="G81" s="100">
        <f t="shared" si="17"/>
        <v>26772318690.612232</v>
      </c>
      <c r="H81" s="100">
        <f t="shared" si="17"/>
        <v>26772318690.612232</v>
      </c>
      <c r="I81" s="100">
        <f t="shared" si="17"/>
        <v>25407020971.462234</v>
      </c>
      <c r="J81" s="100">
        <f t="shared" si="17"/>
        <v>26772318690.612232</v>
      </c>
      <c r="K81" s="100">
        <f t="shared" si="17"/>
        <v>26772318690.612232</v>
      </c>
      <c r="L81" s="100">
        <f t="shared" si="17"/>
        <v>26772318690.612232</v>
      </c>
      <c r="M81" s="100">
        <f t="shared" si="17"/>
        <v>26772318690.612232</v>
      </c>
      <c r="N81" s="100">
        <f t="shared" si="17"/>
        <v>-92668441685.431519</v>
      </c>
      <c r="O81" s="100">
        <f t="shared" si="17"/>
        <v>26772318690.612232</v>
      </c>
      <c r="P81" s="100">
        <f t="shared" si="17"/>
        <v>26772318690.612232</v>
      </c>
      <c r="Q81" s="100">
        <f t="shared" si="17"/>
        <v>26772318690.612232</v>
      </c>
      <c r="R81" s="100">
        <f t="shared" si="17"/>
        <v>26772318690.612232</v>
      </c>
      <c r="S81" s="100">
        <f t="shared" si="17"/>
        <v>25407020971.462234</v>
      </c>
      <c r="T81" s="100">
        <f t="shared" si="17"/>
        <v>26772318690.612232</v>
      </c>
      <c r="U81" s="100">
        <f t="shared" si="17"/>
        <v>26772318690.612232</v>
      </c>
      <c r="V81" s="100">
        <f t="shared" si="17"/>
        <v>26772318690.612232</v>
      </c>
      <c r="W81" s="100">
        <f t="shared" si="17"/>
        <v>26772318690.612232</v>
      </c>
      <c r="X81" s="100">
        <f t="shared" si="17"/>
        <v>26600818690.612232</v>
      </c>
      <c r="Y81" s="100">
        <f t="shared" si="17"/>
        <v>-92657941685.431519</v>
      </c>
      <c r="Z81" s="100">
        <f t="shared" si="17"/>
        <v>26772318690.612232</v>
      </c>
      <c r="AA81" s="100">
        <f t="shared" si="17"/>
        <v>26772318690.612232</v>
      </c>
      <c r="AB81" s="100">
        <f t="shared" si="17"/>
        <v>33654597051.033714</v>
      </c>
      <c r="AC81" s="100">
        <f t="shared" ref="AC81:AG81" si="18">AC71-AC73-AC75-AC79</f>
        <v>26735376832.612232</v>
      </c>
      <c r="AD81" s="100">
        <f t="shared" si="18"/>
        <v>26698434974.612232</v>
      </c>
      <c r="AE81" s="100">
        <f t="shared" si="18"/>
        <v>26661493116.612232</v>
      </c>
      <c r="AF81" s="100">
        <f t="shared" si="18"/>
        <v>26624551258.612232</v>
      </c>
      <c r="AG81" s="100">
        <f t="shared" si="18"/>
        <v>26587609400.612232</v>
      </c>
    </row>
    <row r="82" spans="1:33">
      <c r="A82" s="193"/>
      <c r="B82" s="244"/>
      <c r="C82" s="237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</row>
    <row r="83" spans="1:33" ht="14.4" thickBot="1">
      <c r="A83" s="258"/>
      <c r="B83" s="259"/>
      <c r="C83" s="260"/>
      <c r="D83" s="261"/>
      <c r="E83" s="261"/>
      <c r="F83" s="261"/>
      <c r="G83" s="261"/>
      <c r="H83" s="261"/>
      <c r="I83" s="261"/>
      <c r="J83" s="261"/>
      <c r="K83" s="261"/>
      <c r="L83" s="261"/>
      <c r="M83" s="261"/>
      <c r="N83" s="261"/>
      <c r="O83" s="261"/>
      <c r="P83" s="261"/>
      <c r="Q83" s="261"/>
      <c r="R83" s="261"/>
      <c r="S83" s="261"/>
      <c r="T83" s="261"/>
      <c r="U83" s="261"/>
      <c r="V83" s="261"/>
      <c r="W83" s="261"/>
      <c r="X83" s="261"/>
      <c r="Y83" s="261"/>
      <c r="Z83" s="261"/>
      <c r="AA83" s="261"/>
      <c r="AB83" s="261"/>
      <c r="AC83" s="261"/>
      <c r="AD83" s="261"/>
      <c r="AE83" s="261"/>
      <c r="AF83" s="261"/>
      <c r="AG83" s="261"/>
    </row>
    <row r="84" spans="1:33">
      <c r="A84" s="179"/>
      <c r="B84" s="99" t="s">
        <v>498</v>
      </c>
      <c r="C84" s="228"/>
      <c r="D84" s="98">
        <f>D73+D74+D79</f>
        <v>250590885138.8587</v>
      </c>
      <c r="E84" s="98">
        <f t="shared" ref="E84:AG84" si="19">E73+E74+E79</f>
        <v>4768586026.34972</v>
      </c>
      <c r="F84" s="98">
        <f t="shared" si="19"/>
        <v>4768586026.34972</v>
      </c>
      <c r="G84" s="98">
        <f t="shared" si="19"/>
        <v>4768586026.34972</v>
      </c>
      <c r="H84" s="98">
        <f t="shared" si="19"/>
        <v>4768586026.34972</v>
      </c>
      <c r="I84" s="98">
        <f t="shared" si="19"/>
        <v>7488681464.6497211</v>
      </c>
      <c r="J84" s="98">
        <f t="shared" si="19"/>
        <v>4768586026.34972</v>
      </c>
      <c r="K84" s="98">
        <f t="shared" si="19"/>
        <v>4768586026.34972</v>
      </c>
      <c r="L84" s="98">
        <f t="shared" si="19"/>
        <v>4768586026.34972</v>
      </c>
      <c r="M84" s="98">
        <f t="shared" si="19"/>
        <v>4768586026.34972</v>
      </c>
      <c r="N84" s="98">
        <f t="shared" si="19"/>
        <v>243639606778.43719</v>
      </c>
      <c r="O84" s="98">
        <f t="shared" si="19"/>
        <v>4768586026.34972</v>
      </c>
      <c r="P84" s="98">
        <f t="shared" si="19"/>
        <v>4768586026.34972</v>
      </c>
      <c r="Q84" s="98">
        <f t="shared" si="19"/>
        <v>4768586026.34972</v>
      </c>
      <c r="R84" s="98">
        <f t="shared" si="19"/>
        <v>4768586026.34972</v>
      </c>
      <c r="S84" s="98">
        <f t="shared" si="19"/>
        <v>7488681464.6497211</v>
      </c>
      <c r="T84" s="98">
        <f t="shared" si="19"/>
        <v>4768586026.34972</v>
      </c>
      <c r="U84" s="98">
        <f t="shared" si="19"/>
        <v>4768586026.34972</v>
      </c>
      <c r="V84" s="98">
        <f t="shared" si="19"/>
        <v>4768586026.34972</v>
      </c>
      <c r="W84" s="98">
        <f t="shared" si="19"/>
        <v>4768586026.34972</v>
      </c>
      <c r="X84" s="98">
        <f t="shared" si="19"/>
        <v>4940086026.34972</v>
      </c>
      <c r="Y84" s="98">
        <f t="shared" si="19"/>
        <v>243629106778.43719</v>
      </c>
      <c r="Z84" s="98">
        <f t="shared" si="19"/>
        <v>4768586026.34972</v>
      </c>
      <c r="AA84" s="98">
        <f t="shared" si="19"/>
        <v>4768586026.34972</v>
      </c>
      <c r="AB84" s="98">
        <f t="shared" si="19"/>
        <v>-2113692334.0717592</v>
      </c>
      <c r="AC84" s="98">
        <f t="shared" si="19"/>
        <v>4805527884.34972</v>
      </c>
      <c r="AD84" s="98">
        <f t="shared" si="19"/>
        <v>4842469742.34972</v>
      </c>
      <c r="AE84" s="98">
        <f t="shared" si="19"/>
        <v>4879411600.34972</v>
      </c>
      <c r="AF84" s="98">
        <f t="shared" si="19"/>
        <v>4916353458.34972</v>
      </c>
      <c r="AG84" s="98">
        <f t="shared" si="19"/>
        <v>4953295316.34972</v>
      </c>
    </row>
    <row r="85" spans="1:33">
      <c r="A85" s="179"/>
      <c r="B85" s="99" t="s">
        <v>497</v>
      </c>
      <c r="C85" s="262"/>
      <c r="D85" s="98">
        <f>SUM(D84:AG84)</f>
        <v>865894961793.35437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</row>
    <row r="86" spans="1:33">
      <c r="A86" s="179"/>
      <c r="B86" s="99"/>
      <c r="C86" s="262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</row>
    <row r="87" spans="1:33">
      <c r="A87" s="179"/>
      <c r="B87" s="99"/>
    </row>
    <row r="88" spans="1:33">
      <c r="A88" s="179"/>
      <c r="B88" s="99"/>
    </row>
    <row r="89" spans="1:33">
      <c r="A89" s="179"/>
      <c r="B89" s="179"/>
    </row>
    <row r="90" spans="1:33">
      <c r="A90" s="179"/>
      <c r="B90" s="179"/>
    </row>
    <row r="91" spans="1:33">
      <c r="A91" s="179"/>
      <c r="B91" s="179"/>
    </row>
    <row r="92" spans="1:33">
      <c r="A92" s="179"/>
      <c r="B92" s="179"/>
      <c r="C92" s="263"/>
      <c r="D92" s="263"/>
      <c r="E92" s="263"/>
    </row>
    <row r="93" spans="1:33">
      <c r="B93" s="179"/>
      <c r="C93" s="263"/>
      <c r="D93" s="264"/>
      <c r="E93" s="264"/>
    </row>
    <row r="94" spans="1:33">
      <c r="B94" s="179"/>
      <c r="C94" s="263"/>
      <c r="D94" s="264"/>
      <c r="E94" s="264"/>
    </row>
  </sheetData>
  <mergeCells count="1">
    <mergeCell ref="A3:B3"/>
  </mergeCells>
  <phoneticPr fontId="5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dimension ref="A1:BA4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2" sqref="E22"/>
    </sheetView>
  </sheetViews>
  <sheetFormatPr defaultColWidth="9.109375" defaultRowHeight="13.8"/>
  <cols>
    <col min="1" max="1" width="27.6640625" style="326" customWidth="1"/>
    <col min="2" max="2" width="13.33203125" style="330" bestFit="1" customWidth="1"/>
    <col min="3" max="6" width="13.33203125" style="330" customWidth="1"/>
    <col min="7" max="9" width="12.33203125" style="330" customWidth="1"/>
    <col min="10" max="11" width="12" style="330" customWidth="1"/>
    <col min="12" max="12" width="13.88671875" style="330" customWidth="1"/>
    <col min="13" max="13" width="12" style="330" customWidth="1"/>
    <col min="14" max="15" width="12.5546875" style="330" bestFit="1" customWidth="1"/>
    <col min="16" max="16" width="12" style="330" customWidth="1"/>
    <col min="17" max="18" width="12.33203125" style="330" customWidth="1"/>
    <col min="19" max="20" width="12" style="330" customWidth="1"/>
    <col min="21" max="22" width="12.33203125" style="330" customWidth="1"/>
    <col min="23" max="23" width="12.88671875" style="330" customWidth="1"/>
    <col min="24" max="31" width="12.33203125" style="330" customWidth="1"/>
    <col min="32" max="32" width="14.5546875" style="330" customWidth="1"/>
    <col min="33" max="33" width="13.109375" style="330" bestFit="1" customWidth="1"/>
    <col min="34" max="45" width="10.6640625" style="330" customWidth="1"/>
    <col min="46" max="89" width="10.6640625" style="326" customWidth="1"/>
    <col min="90" max="16384" width="9.109375" style="326"/>
  </cols>
  <sheetData>
    <row r="1" spans="1:53" ht="24.75" customHeight="1">
      <c r="A1" s="353" t="s">
        <v>350</v>
      </c>
      <c r="B1" s="326"/>
    </row>
    <row r="2" spans="1:53" ht="15.6">
      <c r="A2" s="331" t="s">
        <v>353</v>
      </c>
      <c r="B2" s="332"/>
    </row>
    <row r="3" spans="1:53">
      <c r="A3" s="333"/>
      <c r="B3" s="326"/>
    </row>
    <row r="4" spans="1:53" ht="16.2" thickBot="1">
      <c r="A4" s="334" t="s">
        <v>98</v>
      </c>
      <c r="AT4" s="330"/>
      <c r="AU4" s="330"/>
      <c r="AV4" s="330"/>
      <c r="AW4" s="330"/>
      <c r="AX4" s="330"/>
      <c r="AY4" s="330"/>
      <c r="AZ4" s="330"/>
      <c r="BA4" s="330"/>
    </row>
    <row r="5" spans="1:53" ht="14.4" thickBot="1">
      <c r="A5" s="335"/>
      <c r="B5" s="336">
        <f>SB!D3</f>
        <v>1</v>
      </c>
      <c r="C5" s="336">
        <f>SB!E3</f>
        <v>2</v>
      </c>
      <c r="D5" s="336">
        <f>SB!F3</f>
        <v>3</v>
      </c>
      <c r="E5" s="336">
        <f>SB!G3</f>
        <v>4</v>
      </c>
      <c r="F5" s="336">
        <f>SB!H3</f>
        <v>5</v>
      </c>
      <c r="G5" s="336">
        <f>SB!I3</f>
        <v>6</v>
      </c>
      <c r="H5" s="336">
        <f>SB!J3</f>
        <v>7</v>
      </c>
      <c r="I5" s="336">
        <f>SB!K3</f>
        <v>8</v>
      </c>
      <c r="J5" s="336">
        <f>SB!L3</f>
        <v>9</v>
      </c>
      <c r="K5" s="336">
        <f>SB!M3</f>
        <v>10</v>
      </c>
      <c r="L5" s="336">
        <f>SB!N3</f>
        <v>11</v>
      </c>
      <c r="M5" s="336">
        <f>SB!O3</f>
        <v>12</v>
      </c>
      <c r="N5" s="336">
        <f>SB!P3</f>
        <v>13</v>
      </c>
      <c r="O5" s="336">
        <f>SB!Q3</f>
        <v>14</v>
      </c>
      <c r="P5" s="336">
        <f>SB!R3</f>
        <v>15</v>
      </c>
      <c r="Q5" s="336">
        <f>SB!S3</f>
        <v>16</v>
      </c>
      <c r="R5" s="336">
        <f>SB!T3</f>
        <v>17</v>
      </c>
      <c r="S5" s="336">
        <f>SB!U3</f>
        <v>18</v>
      </c>
      <c r="T5" s="336">
        <f>SB!V3</f>
        <v>19</v>
      </c>
      <c r="U5" s="336">
        <f>SB!W3</f>
        <v>20</v>
      </c>
      <c r="V5" s="336">
        <f>SB!X3</f>
        <v>21</v>
      </c>
      <c r="W5" s="336">
        <f>SB!Y3</f>
        <v>22</v>
      </c>
      <c r="X5" s="336">
        <f>SB!Z3</f>
        <v>23</v>
      </c>
      <c r="Y5" s="336">
        <f>SB!AA3</f>
        <v>24</v>
      </c>
      <c r="Z5" s="336">
        <f>SB!AB3</f>
        <v>25</v>
      </c>
      <c r="AA5" s="336">
        <f>SB!AC3</f>
        <v>26</v>
      </c>
      <c r="AB5" s="336">
        <f>SB!AD3</f>
        <v>27</v>
      </c>
      <c r="AC5" s="336">
        <f>SB!AE3</f>
        <v>28</v>
      </c>
      <c r="AD5" s="336">
        <f>SB!AF3</f>
        <v>29</v>
      </c>
      <c r="AE5" s="336">
        <f>SB!AG3</f>
        <v>30</v>
      </c>
      <c r="AF5" s="337" t="s">
        <v>101</v>
      </c>
      <c r="AG5" s="338" t="s">
        <v>102</v>
      </c>
    </row>
    <row r="6" spans="1:53">
      <c r="A6" s="339"/>
      <c r="B6" s="340">
        <v>1</v>
      </c>
      <c r="C6" s="340">
        <v>2</v>
      </c>
      <c r="D6" s="340">
        <v>3</v>
      </c>
      <c r="E6" s="340">
        <v>4</v>
      </c>
      <c r="F6" s="340">
        <v>5</v>
      </c>
      <c r="G6" s="340">
        <v>6</v>
      </c>
      <c r="H6" s="340">
        <v>7</v>
      </c>
      <c r="I6" s="340">
        <v>8</v>
      </c>
      <c r="J6" s="340">
        <v>9</v>
      </c>
      <c r="K6" s="340">
        <v>10</v>
      </c>
      <c r="L6" s="340">
        <v>11</v>
      </c>
      <c r="M6" s="340">
        <v>12</v>
      </c>
      <c r="N6" s="340">
        <v>13</v>
      </c>
      <c r="O6" s="340">
        <v>14</v>
      </c>
      <c r="P6" s="340">
        <v>15</v>
      </c>
      <c r="Q6" s="340">
        <v>16</v>
      </c>
      <c r="R6" s="340">
        <v>17</v>
      </c>
      <c r="S6" s="340">
        <v>18</v>
      </c>
      <c r="T6" s="340">
        <v>19</v>
      </c>
      <c r="U6" s="340">
        <v>20</v>
      </c>
      <c r="V6" s="340">
        <v>21</v>
      </c>
      <c r="W6" s="340">
        <v>22</v>
      </c>
      <c r="X6" s="340">
        <v>23</v>
      </c>
      <c r="Y6" s="340">
        <v>24</v>
      </c>
      <c r="Z6" s="340">
        <v>25</v>
      </c>
      <c r="AA6" s="340">
        <v>26</v>
      </c>
      <c r="AB6" s="340">
        <v>27</v>
      </c>
      <c r="AC6" s="340">
        <v>28</v>
      </c>
      <c r="AD6" s="340">
        <v>29</v>
      </c>
      <c r="AE6" s="340">
        <v>30</v>
      </c>
      <c r="AF6" s="324"/>
      <c r="AG6" s="320"/>
    </row>
    <row r="7" spans="1:53">
      <c r="A7" s="341" t="s">
        <v>91</v>
      </c>
      <c r="B7" s="319">
        <f>PB!D70</f>
        <v>43136698236.260437</v>
      </c>
      <c r="C7" s="319">
        <f>PB!E70</f>
        <v>43136698236.260437</v>
      </c>
      <c r="D7" s="319">
        <f>PB!F70</f>
        <v>43136698236.260437</v>
      </c>
      <c r="E7" s="319">
        <f>PB!G70</f>
        <v>43136698236.260437</v>
      </c>
      <c r="F7" s="319">
        <f>PB!H70</f>
        <v>43136698236.260437</v>
      </c>
      <c r="G7" s="319">
        <f>PB!I70</f>
        <v>43136698236.260437</v>
      </c>
      <c r="H7" s="319">
        <f>PB!J70</f>
        <v>43136698236.260437</v>
      </c>
      <c r="I7" s="319">
        <f>PB!K70</f>
        <v>43136698236.260437</v>
      </c>
      <c r="J7" s="319">
        <f>PB!L70</f>
        <v>43136698236.260437</v>
      </c>
      <c r="K7" s="319">
        <f>PB!M70</f>
        <v>43136698236.260437</v>
      </c>
      <c r="L7" s="319">
        <f>PB!N70</f>
        <v>43136698236.260437</v>
      </c>
      <c r="M7" s="319">
        <f>PB!O70</f>
        <v>43136698236.260437</v>
      </c>
      <c r="N7" s="319">
        <f>PB!P70</f>
        <v>43136698236.260437</v>
      </c>
      <c r="O7" s="319">
        <f>PB!Q70</f>
        <v>43136698236.260437</v>
      </c>
      <c r="P7" s="319">
        <f>PB!R70</f>
        <v>43136698236.260437</v>
      </c>
      <c r="Q7" s="319">
        <f>PB!S70</f>
        <v>43136698236.260437</v>
      </c>
      <c r="R7" s="319">
        <f>PB!T70</f>
        <v>43136698236.260437</v>
      </c>
      <c r="S7" s="319">
        <f>PB!U70</f>
        <v>43136698236.260437</v>
      </c>
      <c r="T7" s="319">
        <f>PB!V70</f>
        <v>43136698236.260437</v>
      </c>
      <c r="U7" s="319">
        <f>PB!W70</f>
        <v>43136698236.260437</v>
      </c>
      <c r="V7" s="319">
        <f>PB!X70</f>
        <v>43136698236.260437</v>
      </c>
      <c r="W7" s="319">
        <f>PB!Y70</f>
        <v>43136698236.260437</v>
      </c>
      <c r="X7" s="319">
        <f>PB!Z70</f>
        <v>43136698236.260437</v>
      </c>
      <c r="Y7" s="319">
        <f>PB!AA70</f>
        <v>43136698236.260437</v>
      </c>
      <c r="Z7" s="319">
        <f>PB!AB70</f>
        <v>43136698236.260437</v>
      </c>
      <c r="AA7" s="319">
        <f>PB!AC70</f>
        <v>43136698236.260437</v>
      </c>
      <c r="AB7" s="319">
        <f>PB!AD70</f>
        <v>43136698236.260437</v>
      </c>
      <c r="AC7" s="319">
        <f>PB!AE70</f>
        <v>43136698236.260437</v>
      </c>
      <c r="AD7" s="319">
        <f>PB!AF70</f>
        <v>43136698236.260437</v>
      </c>
      <c r="AE7" s="319">
        <f>PB!AG70</f>
        <v>43136698236.260437</v>
      </c>
      <c r="AF7" s="319">
        <f>SUM(B7:AE7)</f>
        <v>1294100947087.8142</v>
      </c>
      <c r="AG7" s="342">
        <f>NPV(Summary!$D$5,B7:AE7)</f>
        <v>529951499087.78571</v>
      </c>
    </row>
    <row r="8" spans="1:53">
      <c r="A8" s="341" t="s">
        <v>480</v>
      </c>
      <c r="B8" s="319">
        <f>SUM(B9:B13)</f>
        <v>74711849254.294739</v>
      </c>
      <c r="C8" s="319">
        <f t="shared" ref="C8:Z8" si="0">SUM(C9:C13)</f>
        <v>36942302918.935791</v>
      </c>
      <c r="D8" s="319">
        <f t="shared" si="0"/>
        <v>36942302918.935791</v>
      </c>
      <c r="E8" s="319">
        <f t="shared" si="0"/>
        <v>36942302918.935791</v>
      </c>
      <c r="F8" s="319">
        <f t="shared" si="0"/>
        <v>36942302918.935791</v>
      </c>
      <c r="G8" s="319">
        <f t="shared" si="0"/>
        <v>37302304118.935791</v>
      </c>
      <c r="H8" s="319">
        <f t="shared" si="0"/>
        <v>36942302918.935791</v>
      </c>
      <c r="I8" s="319">
        <f t="shared" si="0"/>
        <v>36942302918.935791</v>
      </c>
      <c r="J8" s="319">
        <f t="shared" si="0"/>
        <v>36942302918.935791</v>
      </c>
      <c r="K8" s="319">
        <f t="shared" si="0"/>
        <v>36942302918.935791</v>
      </c>
      <c r="L8" s="319">
        <f t="shared" si="0"/>
        <v>67762582768.935791</v>
      </c>
      <c r="M8" s="319">
        <f t="shared" si="0"/>
        <v>36942302918.935791</v>
      </c>
      <c r="N8" s="319">
        <f t="shared" si="0"/>
        <v>36942302918.935791</v>
      </c>
      <c r="O8" s="319">
        <f t="shared" si="0"/>
        <v>36942302918.935791</v>
      </c>
      <c r="P8" s="319">
        <f t="shared" si="0"/>
        <v>36942302918.935791</v>
      </c>
      <c r="Q8" s="319">
        <f t="shared" si="0"/>
        <v>37302304118.935791</v>
      </c>
      <c r="R8" s="319">
        <f t="shared" si="0"/>
        <v>36942302918.935791</v>
      </c>
      <c r="S8" s="319">
        <f t="shared" si="0"/>
        <v>36942302918.935791</v>
      </c>
      <c r="T8" s="319">
        <f t="shared" si="0"/>
        <v>36942302918.935791</v>
      </c>
      <c r="U8" s="319">
        <f t="shared" si="0"/>
        <v>36942302918.935791</v>
      </c>
      <c r="V8" s="319">
        <f t="shared" si="0"/>
        <v>37113802918.935791</v>
      </c>
      <c r="W8" s="319">
        <f t="shared" si="0"/>
        <v>67752082768.935791</v>
      </c>
      <c r="X8" s="319">
        <f t="shared" si="0"/>
        <v>36942302918.935791</v>
      </c>
      <c r="Y8" s="319">
        <f t="shared" si="0"/>
        <v>36942302918.935791</v>
      </c>
      <c r="Z8" s="319">
        <f t="shared" si="0"/>
        <v>30062036433.576843</v>
      </c>
      <c r="AA8" s="319">
        <f t="shared" ref="AA8:AE8" si="1">SUM(AA9:AA13)</f>
        <v>36980352984.675789</v>
      </c>
      <c r="AB8" s="319">
        <f t="shared" si="1"/>
        <v>37018403050.415787</v>
      </c>
      <c r="AC8" s="319">
        <f t="shared" si="1"/>
        <v>37056453116.155792</v>
      </c>
      <c r="AD8" s="319">
        <f t="shared" si="1"/>
        <v>37094503181.89579</v>
      </c>
      <c r="AE8" s="319">
        <f t="shared" si="1"/>
        <v>37132553247.635788</v>
      </c>
      <c r="AF8" s="319">
        <f t="shared" ref="AF8:AF14" si="2">SUM(B8:AE8)</f>
        <v>1202250680504.1736</v>
      </c>
      <c r="AG8" s="342">
        <f>NPV(Summary!$D$5,B8:AE8)</f>
        <v>509663147815.65021</v>
      </c>
    </row>
    <row r="9" spans="1:53">
      <c r="A9" s="341" t="s">
        <v>99</v>
      </c>
      <c r="B9" s="319">
        <f>PB!D73</f>
        <v>819603212.9412837</v>
      </c>
      <c r="C9" s="319">
        <f>PB!E73</f>
        <v>819603212.9412837</v>
      </c>
      <c r="D9" s="319">
        <f>PB!F73</f>
        <v>819603212.9412837</v>
      </c>
      <c r="E9" s="319">
        <f>PB!G73</f>
        <v>819603212.9412837</v>
      </c>
      <c r="F9" s="319">
        <f>PB!H73</f>
        <v>819603212.9412837</v>
      </c>
      <c r="G9" s="319">
        <f>PB!I73</f>
        <v>819603212.9412837</v>
      </c>
      <c r="H9" s="319">
        <f>PB!J73</f>
        <v>819603212.9412837</v>
      </c>
      <c r="I9" s="319">
        <f>PB!K73</f>
        <v>819603212.9412837</v>
      </c>
      <c r="J9" s="319">
        <f>PB!L73</f>
        <v>819603212.9412837</v>
      </c>
      <c r="K9" s="319">
        <f>PB!M73</f>
        <v>819603212.9412837</v>
      </c>
      <c r="L9" s="319">
        <f>PB!N73</f>
        <v>819603212.9412837</v>
      </c>
      <c r="M9" s="319">
        <f>PB!O73</f>
        <v>819603212.9412837</v>
      </c>
      <c r="N9" s="319">
        <f>PB!P73</f>
        <v>819603212.9412837</v>
      </c>
      <c r="O9" s="319">
        <f>PB!Q73</f>
        <v>819603212.9412837</v>
      </c>
      <c r="P9" s="319">
        <f>PB!R73</f>
        <v>819603212.9412837</v>
      </c>
      <c r="Q9" s="319">
        <f>PB!S73</f>
        <v>819603212.9412837</v>
      </c>
      <c r="R9" s="319">
        <f>PB!T73</f>
        <v>819603212.9412837</v>
      </c>
      <c r="S9" s="319">
        <f>PB!U73</f>
        <v>819603212.9412837</v>
      </c>
      <c r="T9" s="319">
        <f>PB!V73</f>
        <v>819603212.9412837</v>
      </c>
      <c r="U9" s="319">
        <f>PB!W73</f>
        <v>819603212.9412837</v>
      </c>
      <c r="V9" s="319">
        <f>PB!X73</f>
        <v>819603212.9412837</v>
      </c>
      <c r="W9" s="319">
        <f>PB!Y73</f>
        <v>819603212.9412837</v>
      </c>
      <c r="X9" s="319">
        <f>PB!Z73</f>
        <v>819603212.9412837</v>
      </c>
      <c r="Y9" s="319">
        <f>PB!AA73</f>
        <v>819603212.9412837</v>
      </c>
      <c r="Z9" s="319">
        <f>PB!AB73</f>
        <v>819603212.9412837</v>
      </c>
      <c r="AA9" s="319">
        <f>PB!AC73</f>
        <v>856543470.9412837</v>
      </c>
      <c r="AB9" s="319">
        <f>PB!AD73</f>
        <v>893483728.9412837</v>
      </c>
      <c r="AC9" s="319">
        <f>PB!AE73</f>
        <v>930423986.9412837</v>
      </c>
      <c r="AD9" s="319">
        <f>PB!AF73</f>
        <v>967364244.9412837</v>
      </c>
      <c r="AE9" s="319">
        <f>PB!AG73</f>
        <v>1004304502.9412837</v>
      </c>
      <c r="AF9" s="319">
        <f t="shared" si="2"/>
        <v>25142200258.238522</v>
      </c>
      <c r="AG9" s="342">
        <f>NPV(Summary!$D$5,B9:AE9)</f>
        <v>10146998471.582155</v>
      </c>
    </row>
    <row r="10" spans="1:53">
      <c r="A10" s="341" t="s">
        <v>72</v>
      </c>
      <c r="B10" s="319">
        <f>PB!D74</f>
        <v>30809779850</v>
      </c>
      <c r="C10" s="319">
        <f>PB!E74</f>
        <v>0</v>
      </c>
      <c r="D10" s="319">
        <f>PB!F74</f>
        <v>0</v>
      </c>
      <c r="E10" s="319">
        <f>PB!G74</f>
        <v>0</v>
      </c>
      <c r="F10" s="319">
        <f>PB!H74</f>
        <v>0</v>
      </c>
      <c r="G10" s="319">
        <f>PB!I74</f>
        <v>349501200</v>
      </c>
      <c r="H10" s="319">
        <f>PB!J74</f>
        <v>0</v>
      </c>
      <c r="I10" s="319">
        <f>PB!K74</f>
        <v>0</v>
      </c>
      <c r="J10" s="319">
        <f>PB!L74</f>
        <v>0</v>
      </c>
      <c r="K10" s="319">
        <f>PB!M74</f>
        <v>0</v>
      </c>
      <c r="L10" s="319">
        <f>PB!N74</f>
        <v>30809779850</v>
      </c>
      <c r="M10" s="319">
        <f>PB!O74</f>
        <v>0</v>
      </c>
      <c r="N10" s="319">
        <f>PB!P74</f>
        <v>0</v>
      </c>
      <c r="O10" s="319">
        <f>PB!Q74</f>
        <v>0</v>
      </c>
      <c r="P10" s="319">
        <f>PB!R74</f>
        <v>0</v>
      </c>
      <c r="Q10" s="319">
        <f>PB!S74</f>
        <v>349501200</v>
      </c>
      <c r="R10" s="319">
        <f>PB!T74</f>
        <v>0</v>
      </c>
      <c r="S10" s="319">
        <f>PB!U74</f>
        <v>0</v>
      </c>
      <c r="T10" s="319">
        <f>PB!V74</f>
        <v>0</v>
      </c>
      <c r="U10" s="319">
        <f>PB!W74</f>
        <v>0</v>
      </c>
      <c r="V10" s="319">
        <f>PB!X74</f>
        <v>0</v>
      </c>
      <c r="W10" s="319">
        <f>PB!Y74</f>
        <v>30809779850</v>
      </c>
      <c r="X10" s="319">
        <f>PB!Z74</f>
        <v>0</v>
      </c>
      <c r="Y10" s="319">
        <f>PB!AA74</f>
        <v>0</v>
      </c>
      <c r="Z10" s="319">
        <f>PB!AB74</f>
        <v>0</v>
      </c>
      <c r="AA10" s="319">
        <f>PB!AC74</f>
        <v>0</v>
      </c>
      <c r="AB10" s="319">
        <f>PB!AD74</f>
        <v>0</v>
      </c>
      <c r="AC10" s="319">
        <f>PB!AE74</f>
        <v>0</v>
      </c>
      <c r="AD10" s="319">
        <f>PB!AF74</f>
        <v>0</v>
      </c>
      <c r="AE10" s="319">
        <f>PB!AG74</f>
        <v>0</v>
      </c>
      <c r="AF10" s="319">
        <f t="shared" si="2"/>
        <v>93128341950</v>
      </c>
      <c r="AG10" s="342">
        <f>NPV(Summary!$D$5,B10:AE10)</f>
        <v>50416100139.859528</v>
      </c>
    </row>
    <row r="11" spans="1:53" ht="15.6">
      <c r="A11" s="341" t="s">
        <v>62</v>
      </c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>
        <f t="shared" si="2"/>
        <v>0</v>
      </c>
      <c r="AG11" s="342">
        <f>NPV(Summary!$D$5,B11:AE11)</f>
        <v>0</v>
      </c>
      <c r="AI11" s="343"/>
    </row>
    <row r="12" spans="1:53" ht="15.6">
      <c r="A12" s="344" t="s">
        <v>93</v>
      </c>
      <c r="B12" s="319">
        <f>SUM(PB!D76:D78)</f>
        <v>22114618404.921883</v>
      </c>
      <c r="C12" s="319">
        <f>SUM(PB!E76:E78)</f>
        <v>22114618404.921883</v>
      </c>
      <c r="D12" s="319">
        <f>SUM(PB!F76:F78)</f>
        <v>22114618404.921883</v>
      </c>
      <c r="E12" s="319">
        <f>SUM(PB!G76:G78)</f>
        <v>22114618404.921883</v>
      </c>
      <c r="F12" s="319">
        <f>SUM(PB!H76:H78)</f>
        <v>22114618404.921883</v>
      </c>
      <c r="G12" s="319">
        <f>SUM(PB!I76:I78)</f>
        <v>22114618404.921883</v>
      </c>
      <c r="H12" s="319">
        <f>SUM(PB!J76:J78)</f>
        <v>22114618404.921883</v>
      </c>
      <c r="I12" s="319">
        <f>SUM(PB!K76:K78)</f>
        <v>22114618404.921883</v>
      </c>
      <c r="J12" s="319">
        <f>SUM(PB!L76:L78)</f>
        <v>22114618404.921883</v>
      </c>
      <c r="K12" s="319">
        <f>SUM(PB!M76:M78)</f>
        <v>22114618404.921883</v>
      </c>
      <c r="L12" s="319">
        <f>SUM(PB!N76:N78)</f>
        <v>22114618404.921883</v>
      </c>
      <c r="M12" s="319">
        <f>SUM(PB!O76:O78)</f>
        <v>22114618404.921883</v>
      </c>
      <c r="N12" s="319">
        <f>SUM(PB!P76:P78)</f>
        <v>22114618404.921883</v>
      </c>
      <c r="O12" s="319">
        <f>SUM(PB!Q76:Q78)</f>
        <v>22114618404.921883</v>
      </c>
      <c r="P12" s="319">
        <f>SUM(PB!R76:R78)</f>
        <v>22114618404.921883</v>
      </c>
      <c r="Q12" s="319">
        <f>SUM(PB!S76:S78)</f>
        <v>22114618404.921883</v>
      </c>
      <c r="R12" s="319">
        <f>SUM(PB!T76:T78)</f>
        <v>22114618404.921883</v>
      </c>
      <c r="S12" s="319">
        <f>SUM(PB!U76:U78)</f>
        <v>22114618404.921883</v>
      </c>
      <c r="T12" s="319">
        <f>SUM(PB!V76:V78)</f>
        <v>22114618404.921883</v>
      </c>
      <c r="U12" s="319">
        <f>SUM(PB!W76:W78)</f>
        <v>22114618404.921883</v>
      </c>
      <c r="V12" s="319">
        <f>SUM(PB!X76:X78)</f>
        <v>22114618404.921883</v>
      </c>
      <c r="W12" s="319">
        <f>SUM(PB!Y76:Y78)</f>
        <v>22114618404.921883</v>
      </c>
      <c r="X12" s="319">
        <f>SUM(PB!Z76:Z78)</f>
        <v>22114618404.921883</v>
      </c>
      <c r="Y12" s="319">
        <f>SUM(PB!AA76:AA78)</f>
        <v>22114618404.921883</v>
      </c>
      <c r="Z12" s="319">
        <f>SUM(PB!AB76:AB78)</f>
        <v>22114618404.921883</v>
      </c>
      <c r="AA12" s="319">
        <f>SUM(PB!AC76:AC78)</f>
        <v>22114618404.921883</v>
      </c>
      <c r="AB12" s="319">
        <f>SUM(PB!AD76:AD78)</f>
        <v>22114618404.921883</v>
      </c>
      <c r="AC12" s="319">
        <f>SUM(PB!AE76:AE78)</f>
        <v>22114618404.921883</v>
      </c>
      <c r="AD12" s="319">
        <f>SUM(PB!AF76:AF78)</f>
        <v>22114618404.921883</v>
      </c>
      <c r="AE12" s="319">
        <f>SUM(PB!AG76:AG78)</f>
        <v>22114618404.921883</v>
      </c>
      <c r="AF12" s="319">
        <f t="shared" si="2"/>
        <v>663438552147.65637</v>
      </c>
      <c r="AG12" s="342">
        <f>NPV(Summary!$D$5,B12:AE12)</f>
        <v>271686885056.75192</v>
      </c>
      <c r="AI12" s="343"/>
    </row>
    <row r="13" spans="1:53">
      <c r="A13" s="344" t="s">
        <v>73</v>
      </c>
      <c r="B13" s="319">
        <f>PB!D79-PB!D74</f>
        <v>20967847786.431572</v>
      </c>
      <c r="C13" s="319">
        <f>PB!E79-PB!E74</f>
        <v>14008081301.072624</v>
      </c>
      <c r="D13" s="319">
        <f>PB!F79-PB!F74</f>
        <v>14008081301.072624</v>
      </c>
      <c r="E13" s="319">
        <f>PB!G79-PB!G74</f>
        <v>14008081301.072624</v>
      </c>
      <c r="F13" s="319">
        <f>PB!H79-PB!H74</f>
        <v>14008081301.072624</v>
      </c>
      <c r="G13" s="319">
        <f>PB!I79-PB!I74</f>
        <v>14018581301.072624</v>
      </c>
      <c r="H13" s="319">
        <f>PB!J79-PB!J74</f>
        <v>14008081301.072624</v>
      </c>
      <c r="I13" s="319">
        <f>PB!K79-PB!K74</f>
        <v>14008081301.072624</v>
      </c>
      <c r="J13" s="319">
        <f>PB!L79-PB!L74</f>
        <v>14008081301.072624</v>
      </c>
      <c r="K13" s="319">
        <f>PB!M79-PB!M74</f>
        <v>14008081301.072624</v>
      </c>
      <c r="L13" s="319">
        <f>PB!N79-PB!N74</f>
        <v>14018581301.072624</v>
      </c>
      <c r="M13" s="319">
        <f>PB!O79-PB!O74</f>
        <v>14008081301.072624</v>
      </c>
      <c r="N13" s="319">
        <f>PB!P79-PB!P74</f>
        <v>14008081301.072624</v>
      </c>
      <c r="O13" s="319">
        <f>PB!Q79-PB!Q74</f>
        <v>14008081301.072624</v>
      </c>
      <c r="P13" s="319">
        <f>PB!R79-PB!R74</f>
        <v>14008081301.072624</v>
      </c>
      <c r="Q13" s="319">
        <f>PB!S79-PB!S74</f>
        <v>14018581301.072624</v>
      </c>
      <c r="R13" s="319">
        <f>PB!T79-PB!T74</f>
        <v>14008081301.072624</v>
      </c>
      <c r="S13" s="319">
        <f>PB!U79-PB!U74</f>
        <v>14008081301.072624</v>
      </c>
      <c r="T13" s="319">
        <f>PB!V79-PB!V74</f>
        <v>14008081301.072624</v>
      </c>
      <c r="U13" s="319">
        <f>PB!W79-PB!W74</f>
        <v>14008081301.072624</v>
      </c>
      <c r="V13" s="319">
        <f>PB!X79-PB!X74</f>
        <v>14179581301.072624</v>
      </c>
      <c r="W13" s="319">
        <f>PB!Y79-PB!Y74</f>
        <v>14008081301.072624</v>
      </c>
      <c r="X13" s="319">
        <f>PB!Z79-PB!Z74</f>
        <v>14008081301.072624</v>
      </c>
      <c r="Y13" s="319">
        <f>PB!AA79-PB!AA74</f>
        <v>14008081301.072624</v>
      </c>
      <c r="Z13" s="319">
        <f>PB!AB79-PB!AB74</f>
        <v>7127814815.7136755</v>
      </c>
      <c r="AA13" s="319">
        <f>PB!AC79-PB!AC74</f>
        <v>14009191108.812624</v>
      </c>
      <c r="AB13" s="319">
        <f>PB!AD79-PB!AD74</f>
        <v>14010300916.552624</v>
      </c>
      <c r="AC13" s="319">
        <f>PB!AE79-PB!AE74</f>
        <v>14011410724.292625</v>
      </c>
      <c r="AD13" s="319">
        <f>PB!AF79-PB!AF74</f>
        <v>14012520532.032625</v>
      </c>
      <c r="AE13" s="319">
        <f>PB!AG79-PB!AG74</f>
        <v>14013630339.772625</v>
      </c>
      <c r="AF13" s="319">
        <f t="shared" si="2"/>
        <v>420541586148.27887</v>
      </c>
      <c r="AG13" s="342">
        <f>NPV(Summary!$D$5,B13:AE13)</f>
        <v>177413164147.45654</v>
      </c>
      <c r="AI13" s="333"/>
    </row>
    <row r="14" spans="1:53" ht="14.4" thickBot="1">
      <c r="A14" s="345" t="s">
        <v>143</v>
      </c>
      <c r="B14" s="322">
        <f>B7-B9-B10-B12-B13</f>
        <v>-31575151018.034302</v>
      </c>
      <c r="C14" s="322">
        <f t="shared" ref="C14:Z14" si="3">C7-C9-C10-C12-C13</f>
        <v>6194395317.324646</v>
      </c>
      <c r="D14" s="322">
        <f t="shared" si="3"/>
        <v>6194395317.324646</v>
      </c>
      <c r="E14" s="322">
        <f t="shared" si="3"/>
        <v>6194395317.324646</v>
      </c>
      <c r="F14" s="322">
        <f t="shared" si="3"/>
        <v>6194395317.324646</v>
      </c>
      <c r="G14" s="322">
        <f t="shared" si="3"/>
        <v>5834394117.324646</v>
      </c>
      <c r="H14" s="322">
        <f t="shared" si="3"/>
        <v>6194395317.324646</v>
      </c>
      <c r="I14" s="322">
        <f t="shared" si="3"/>
        <v>6194395317.324646</v>
      </c>
      <c r="J14" s="322">
        <f t="shared" si="3"/>
        <v>6194395317.324646</v>
      </c>
      <c r="K14" s="322">
        <f t="shared" si="3"/>
        <v>6194395317.324646</v>
      </c>
      <c r="L14" s="322">
        <f t="shared" si="3"/>
        <v>-24625884532.675354</v>
      </c>
      <c r="M14" s="322">
        <f t="shared" si="3"/>
        <v>6194395317.324646</v>
      </c>
      <c r="N14" s="322">
        <f t="shared" si="3"/>
        <v>6194395317.324646</v>
      </c>
      <c r="O14" s="322">
        <f t="shared" si="3"/>
        <v>6194395317.324646</v>
      </c>
      <c r="P14" s="322">
        <f t="shared" si="3"/>
        <v>6194395317.324646</v>
      </c>
      <c r="Q14" s="322">
        <f t="shared" si="3"/>
        <v>5834394117.324646</v>
      </c>
      <c r="R14" s="322">
        <f t="shared" si="3"/>
        <v>6194395317.324646</v>
      </c>
      <c r="S14" s="322">
        <f t="shared" si="3"/>
        <v>6194395317.324646</v>
      </c>
      <c r="T14" s="322">
        <f t="shared" si="3"/>
        <v>6194395317.324646</v>
      </c>
      <c r="U14" s="322">
        <f t="shared" si="3"/>
        <v>6194395317.324646</v>
      </c>
      <c r="V14" s="322">
        <f t="shared" si="3"/>
        <v>6022895317.324646</v>
      </c>
      <c r="W14" s="322">
        <f t="shared" si="3"/>
        <v>-24615384532.675354</v>
      </c>
      <c r="X14" s="322">
        <f t="shared" si="3"/>
        <v>6194395317.324646</v>
      </c>
      <c r="Y14" s="322">
        <f t="shared" si="3"/>
        <v>6194395317.324646</v>
      </c>
      <c r="Z14" s="322">
        <f t="shared" si="3"/>
        <v>13074661802.683594</v>
      </c>
      <c r="AA14" s="322">
        <f t="shared" ref="AA14:AE14" si="4">AA7-AA9-AA10-AA12-AA13</f>
        <v>6156345251.5846462</v>
      </c>
      <c r="AB14" s="322">
        <f t="shared" si="4"/>
        <v>6118295185.8446465</v>
      </c>
      <c r="AC14" s="322">
        <f t="shared" si="4"/>
        <v>6080245120.1046448</v>
      </c>
      <c r="AD14" s="322">
        <f t="shared" si="4"/>
        <v>6042195054.364645</v>
      </c>
      <c r="AE14" s="322">
        <f t="shared" si="4"/>
        <v>6004144988.6246452</v>
      </c>
      <c r="AF14" s="319">
        <f t="shared" si="2"/>
        <v>91850266583.639374</v>
      </c>
      <c r="AG14" s="342">
        <f>NPV(Summary!$D$5,B14:AE14)</f>
        <v>20288351272.135391</v>
      </c>
      <c r="AJ14" s="309"/>
    </row>
    <row r="15" spans="1:53">
      <c r="A15" s="332" t="s">
        <v>147</v>
      </c>
      <c r="B15" s="346">
        <f>SUM(B9:B13)/Produksi!$AG$5</f>
        <v>1660263.3167621053</v>
      </c>
      <c r="C15" s="346">
        <f>SUM(C9:C13)/Produksi!$AG$5</f>
        <v>820940.06486523978</v>
      </c>
      <c r="D15" s="346">
        <f>SUM(D9:D13)/Produksi!$AG$5</f>
        <v>820940.06486523978</v>
      </c>
      <c r="E15" s="346">
        <f>SUM(E9:E13)/Produksi!$AG$5</f>
        <v>820940.06486523978</v>
      </c>
      <c r="F15" s="346">
        <f>SUM(F9:F13)/Produksi!$AG$5</f>
        <v>820940.06486523978</v>
      </c>
      <c r="G15" s="346">
        <f>SUM(G9:G13)/Produksi!$AG$5</f>
        <v>828940.09153190651</v>
      </c>
      <c r="H15" s="346">
        <f>SUM(H9:H13)/Produksi!$AG$5</f>
        <v>820940.06486523978</v>
      </c>
      <c r="I15" s="346">
        <f>SUM(I9:I13)/Produksi!$AG$5</f>
        <v>820940.06486523978</v>
      </c>
      <c r="J15" s="346">
        <f>SUM(J9:J13)/Produksi!$AG$5</f>
        <v>820940.06486523978</v>
      </c>
      <c r="K15" s="346">
        <f>SUM(K9:K13)/Produksi!$AG$5</f>
        <v>820940.06486523978</v>
      </c>
      <c r="L15" s="346">
        <f>SUM(L9:L13)/Produksi!$AG$5</f>
        <v>1505835.1726430175</v>
      </c>
      <c r="M15" s="346">
        <f>SUM(M9:M13)/Produksi!$AG$5</f>
        <v>820940.06486523978</v>
      </c>
      <c r="N15" s="346">
        <f>SUM(N9:N13)/Produksi!$AG$5</f>
        <v>820940.06486523978</v>
      </c>
      <c r="O15" s="346">
        <f>SUM(O9:O13)/Produksi!$AG$5</f>
        <v>820940.06486523978</v>
      </c>
      <c r="P15" s="346">
        <f>SUM(P9:P13)/Produksi!$AG$5</f>
        <v>820940.06486523978</v>
      </c>
      <c r="Q15" s="346">
        <f>SUM(Q9:Q13)/Produksi!$AG$5</f>
        <v>828940.09153190651</v>
      </c>
      <c r="R15" s="346">
        <f>SUM(R9:R13)/Produksi!$AG$5</f>
        <v>820940.06486523978</v>
      </c>
      <c r="S15" s="346">
        <f>SUM(S9:S13)/Produksi!$AG$5</f>
        <v>820940.06486523978</v>
      </c>
      <c r="T15" s="346">
        <f>SUM(T9:T13)/Produksi!$AG$5</f>
        <v>820940.06486523978</v>
      </c>
      <c r="U15" s="346">
        <f>SUM(U9:U13)/Produksi!$AG$5</f>
        <v>820940.06486523978</v>
      </c>
      <c r="V15" s="346">
        <f>SUM(V9:V13)/Produksi!$AG$5</f>
        <v>824751.1759763509</v>
      </c>
      <c r="W15" s="346">
        <f>SUM(W9:W13)/Produksi!$AG$5</f>
        <v>1505601.8393096842</v>
      </c>
      <c r="X15" s="346">
        <f>SUM(X9:X13)/Produksi!$AG$5</f>
        <v>820940.06486523978</v>
      </c>
      <c r="Y15" s="346">
        <f>SUM(Y9:Y13)/Produksi!$AG$5</f>
        <v>820940.06486523978</v>
      </c>
      <c r="Z15" s="346">
        <f>SUM(Z9:Z13)/Produksi!$AG$5</f>
        <v>668045.25407948543</v>
      </c>
      <c r="AA15" s="346">
        <f>SUM(AA9:AA13)/Produksi!$AG$5</f>
        <v>821785.62188168417</v>
      </c>
      <c r="AB15" s="346">
        <f>SUM(AB9:AB13)/Produksi!$AG$5</f>
        <v>822631.17889812856</v>
      </c>
      <c r="AC15" s="346">
        <f>SUM(AC9:AC13)/Produksi!$AG$5</f>
        <v>823476.73591457319</v>
      </c>
      <c r="AD15" s="346">
        <f>SUM(AD9:AD13)/Produksi!$AG$5</f>
        <v>824322.29293101758</v>
      </c>
      <c r="AE15" s="346">
        <f>SUM(AE9:AE13)/Produksi!$AG$5</f>
        <v>825167.84994746197</v>
      </c>
      <c r="AF15" s="346"/>
      <c r="AG15" s="346"/>
      <c r="AJ15" s="309"/>
    </row>
    <row r="16" spans="1:53">
      <c r="A16" s="332" t="s">
        <v>144</v>
      </c>
      <c r="B16" s="330">
        <f>B14/Produksi!$AG$5</f>
        <v>-701670.02262298448</v>
      </c>
      <c r="C16" s="330">
        <f>C14/Produksi!$AG$5</f>
        <v>137653.22927388104</v>
      </c>
      <c r="D16" s="330">
        <f>D14/Produksi!$AG$5</f>
        <v>137653.22927388104</v>
      </c>
      <c r="E16" s="330">
        <f>E14/Produksi!$AG$5</f>
        <v>137653.22927388104</v>
      </c>
      <c r="F16" s="330">
        <f>F14/Produksi!$AG$5</f>
        <v>137653.22927388104</v>
      </c>
      <c r="G16" s="330">
        <f>G14/Produksi!$AG$5</f>
        <v>129653.20260721435</v>
      </c>
      <c r="H16" s="330">
        <f>H14/Produksi!$AG$5</f>
        <v>137653.22927388104</v>
      </c>
      <c r="I16" s="330">
        <f>I14/Produksi!$AG$5</f>
        <v>137653.22927388104</v>
      </c>
      <c r="J16" s="330">
        <f>J14/Produksi!$AG$5</f>
        <v>137653.22927388104</v>
      </c>
      <c r="K16" s="330">
        <f>K14/Produksi!$AG$5</f>
        <v>137653.22927388104</v>
      </c>
      <c r="L16" s="330">
        <f>L14/Produksi!$AG$5</f>
        <v>-547241.87850389676</v>
      </c>
      <c r="M16" s="330">
        <f>M14/Produksi!$AG$5</f>
        <v>137653.22927388104</v>
      </c>
      <c r="N16" s="330">
        <f>N14/Produksi!$AG$5</f>
        <v>137653.22927388104</v>
      </c>
      <c r="O16" s="330">
        <f>O14/Produksi!$AG$5</f>
        <v>137653.22927388104</v>
      </c>
      <c r="P16" s="330">
        <f>P14/Produksi!$AG$5</f>
        <v>137653.22927388104</v>
      </c>
      <c r="Q16" s="330">
        <f>Q14/Produksi!$AG$5</f>
        <v>129653.20260721435</v>
      </c>
      <c r="R16" s="330">
        <f>R14/Produksi!$AG$5</f>
        <v>137653.22927388104</v>
      </c>
      <c r="S16" s="330">
        <f>S14/Produksi!$AG$5</f>
        <v>137653.22927388104</v>
      </c>
      <c r="T16" s="330">
        <f>T14/Produksi!$AG$5</f>
        <v>137653.22927388104</v>
      </c>
      <c r="U16" s="330">
        <f>U14/Produksi!$AG$5</f>
        <v>137653.22927388104</v>
      </c>
      <c r="V16" s="330">
        <f>V14/Produksi!$AG$5</f>
        <v>133842.11816276991</v>
      </c>
      <c r="W16" s="330">
        <f>W14/Produksi!$AG$5</f>
        <v>-547008.54517056339</v>
      </c>
      <c r="X16" s="330">
        <f>X14/Produksi!$AG$5</f>
        <v>137653.22927388104</v>
      </c>
      <c r="Y16" s="330">
        <f>Y14/Produksi!$AG$5</f>
        <v>137653.22927388104</v>
      </c>
      <c r="Z16" s="330">
        <f>Z14/Produksi!$AG$5</f>
        <v>290548.04005963542</v>
      </c>
      <c r="AA16" s="330">
        <f>AA14/Produksi!$AG$5</f>
        <v>136807.67225743658</v>
      </c>
      <c r="AB16" s="330">
        <f>AB14/Produksi!$AG$5</f>
        <v>135962.11524099213</v>
      </c>
      <c r="AC16" s="330">
        <f>AC14/Produksi!$AG$5</f>
        <v>135116.55822454765</v>
      </c>
      <c r="AD16" s="330">
        <f>AD14/Produksi!$AG$5</f>
        <v>134271.00120810323</v>
      </c>
      <c r="AE16" s="330">
        <f>AE14/Produksi!$AG$5</f>
        <v>133425.44419165878</v>
      </c>
      <c r="AJ16" s="347"/>
    </row>
    <row r="17" spans="1:33">
      <c r="B17" s="363"/>
      <c r="C17" s="363"/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  <c r="P17" s="363"/>
      <c r="Q17" s="363"/>
      <c r="R17" s="363"/>
      <c r="S17" s="363"/>
      <c r="T17" s="363"/>
      <c r="U17" s="363"/>
      <c r="V17" s="363"/>
      <c r="W17" s="363"/>
      <c r="X17" s="363"/>
      <c r="Y17" s="363"/>
      <c r="Z17" s="363"/>
      <c r="AA17" s="363"/>
      <c r="AB17" s="363"/>
      <c r="AC17" s="363"/>
      <c r="AD17" s="363"/>
      <c r="AE17" s="363"/>
      <c r="AF17" s="363"/>
      <c r="AG17" s="363"/>
    </row>
    <row r="18" spans="1:33" ht="16.2" thickBot="1">
      <c r="A18" s="334" t="s">
        <v>100</v>
      </c>
    </row>
    <row r="19" spans="1:33" ht="14.4" thickBot="1">
      <c r="A19" s="335"/>
      <c r="B19" s="336">
        <v>1</v>
      </c>
      <c r="C19" s="336">
        <v>2</v>
      </c>
      <c r="D19" s="336">
        <v>3</v>
      </c>
      <c r="E19" s="336">
        <v>4</v>
      </c>
      <c r="F19" s="336">
        <v>5</v>
      </c>
      <c r="G19" s="336">
        <v>6</v>
      </c>
      <c r="H19" s="336">
        <v>7</v>
      </c>
      <c r="I19" s="336">
        <v>8</v>
      </c>
      <c r="J19" s="336">
        <v>9</v>
      </c>
      <c r="K19" s="336">
        <v>10</v>
      </c>
      <c r="L19" s="336">
        <v>11</v>
      </c>
      <c r="M19" s="336">
        <v>12</v>
      </c>
      <c r="N19" s="336">
        <v>13</v>
      </c>
      <c r="O19" s="336">
        <v>14</v>
      </c>
      <c r="P19" s="336">
        <v>15</v>
      </c>
      <c r="Q19" s="336">
        <v>16</v>
      </c>
      <c r="R19" s="336">
        <v>17</v>
      </c>
      <c r="S19" s="336">
        <v>18</v>
      </c>
      <c r="T19" s="336">
        <v>19</v>
      </c>
      <c r="U19" s="336">
        <v>20</v>
      </c>
      <c r="V19" s="336">
        <v>21</v>
      </c>
      <c r="W19" s="336">
        <v>22</v>
      </c>
      <c r="X19" s="336">
        <v>23</v>
      </c>
      <c r="Y19" s="336">
        <v>24</v>
      </c>
      <c r="Z19" s="336">
        <v>25</v>
      </c>
      <c r="AA19" s="336">
        <v>26</v>
      </c>
      <c r="AB19" s="336">
        <v>27</v>
      </c>
      <c r="AC19" s="336">
        <v>28</v>
      </c>
      <c r="AD19" s="336">
        <v>29</v>
      </c>
      <c r="AE19" s="336">
        <v>30</v>
      </c>
      <c r="AF19" s="337" t="s">
        <v>101</v>
      </c>
      <c r="AG19" s="338" t="s">
        <v>102</v>
      </c>
    </row>
    <row r="20" spans="1:33">
      <c r="A20" s="339"/>
      <c r="B20" s="340">
        <v>1</v>
      </c>
      <c r="C20" s="340">
        <v>2</v>
      </c>
      <c r="D20" s="340">
        <v>3</v>
      </c>
      <c r="E20" s="340">
        <v>4</v>
      </c>
      <c r="F20" s="340">
        <v>5</v>
      </c>
      <c r="G20" s="340">
        <v>6</v>
      </c>
      <c r="H20" s="340">
        <v>7</v>
      </c>
      <c r="I20" s="340">
        <v>8</v>
      </c>
      <c r="J20" s="340">
        <v>9</v>
      </c>
      <c r="K20" s="340">
        <v>10</v>
      </c>
      <c r="L20" s="340">
        <v>11</v>
      </c>
      <c r="M20" s="340">
        <v>12</v>
      </c>
      <c r="N20" s="340">
        <v>13</v>
      </c>
      <c r="O20" s="340">
        <v>14</v>
      </c>
      <c r="P20" s="340">
        <v>15</v>
      </c>
      <c r="Q20" s="340">
        <v>16</v>
      </c>
      <c r="R20" s="340">
        <v>17</v>
      </c>
      <c r="S20" s="340">
        <v>18</v>
      </c>
      <c r="T20" s="340">
        <v>19</v>
      </c>
      <c r="U20" s="340">
        <v>20</v>
      </c>
      <c r="V20" s="340">
        <v>21</v>
      </c>
      <c r="W20" s="340">
        <v>22</v>
      </c>
      <c r="X20" s="340">
        <v>23</v>
      </c>
      <c r="Y20" s="340">
        <v>24</v>
      </c>
      <c r="Z20" s="340">
        <v>25</v>
      </c>
      <c r="AA20" s="340">
        <v>26</v>
      </c>
      <c r="AB20" s="340">
        <v>27</v>
      </c>
      <c r="AC20" s="340">
        <v>28</v>
      </c>
      <c r="AD20" s="340">
        <v>29</v>
      </c>
      <c r="AE20" s="340">
        <v>30</v>
      </c>
      <c r="AF20" s="324"/>
      <c r="AG20" s="320"/>
    </row>
    <row r="21" spans="1:33">
      <c r="A21" s="341" t="s">
        <v>91</v>
      </c>
      <c r="B21" s="319">
        <f>SB!D71</f>
        <v>53655523121.883835</v>
      </c>
      <c r="C21" s="319">
        <f>SB!E71</f>
        <v>53655523121.883835</v>
      </c>
      <c r="D21" s="319">
        <f>SB!F71</f>
        <v>53655523121.883835</v>
      </c>
      <c r="E21" s="319">
        <f>SB!G71</f>
        <v>53655523121.883835</v>
      </c>
      <c r="F21" s="319">
        <f>SB!H71</f>
        <v>53655523121.883835</v>
      </c>
      <c r="G21" s="319">
        <f>SB!I71</f>
        <v>53655523121.883835</v>
      </c>
      <c r="H21" s="319">
        <f>SB!J71</f>
        <v>53655523121.883835</v>
      </c>
      <c r="I21" s="319">
        <f>SB!K71</f>
        <v>53655523121.883835</v>
      </c>
      <c r="J21" s="319">
        <f>SB!L71</f>
        <v>53655523121.883835</v>
      </c>
      <c r="K21" s="319">
        <f>SB!M71</f>
        <v>53655523121.883835</v>
      </c>
      <c r="L21" s="319">
        <f>SB!N71</f>
        <v>53655523121.883835</v>
      </c>
      <c r="M21" s="319">
        <f>SB!O71</f>
        <v>53655523121.883835</v>
      </c>
      <c r="N21" s="319">
        <f>SB!P71</f>
        <v>53655523121.883835</v>
      </c>
      <c r="O21" s="319">
        <f>SB!Q71</f>
        <v>53655523121.883835</v>
      </c>
      <c r="P21" s="319">
        <f>SB!R71</f>
        <v>53655523121.883835</v>
      </c>
      <c r="Q21" s="319">
        <f>SB!S71</f>
        <v>53655523121.883835</v>
      </c>
      <c r="R21" s="319">
        <f>SB!T71</f>
        <v>53655523121.883835</v>
      </c>
      <c r="S21" s="319">
        <f>SB!U71</f>
        <v>53655523121.883835</v>
      </c>
      <c r="T21" s="319">
        <f>SB!V71</f>
        <v>53655523121.883835</v>
      </c>
      <c r="U21" s="319">
        <f>SB!W71</f>
        <v>53655523121.883835</v>
      </c>
      <c r="V21" s="319">
        <f>SB!X71</f>
        <v>53655523121.883835</v>
      </c>
      <c r="W21" s="319">
        <f>SB!Y71</f>
        <v>53655523121.883835</v>
      </c>
      <c r="X21" s="319">
        <f>SB!Z71</f>
        <v>53655523121.883835</v>
      </c>
      <c r="Y21" s="319">
        <f>SB!AA71</f>
        <v>53655523121.883835</v>
      </c>
      <c r="Z21" s="319">
        <f>SB!AB71</f>
        <v>53655523121.883835</v>
      </c>
      <c r="AA21" s="319">
        <f>SB!AC71</f>
        <v>53655523121.883835</v>
      </c>
      <c r="AB21" s="319">
        <f>SB!AD71</f>
        <v>53655523121.883835</v>
      </c>
      <c r="AC21" s="319">
        <f>SB!AE71</f>
        <v>53655523121.883835</v>
      </c>
      <c r="AD21" s="319">
        <f>SB!AF71</f>
        <v>53655523121.883835</v>
      </c>
      <c r="AE21" s="319">
        <f>SB!AG71</f>
        <v>53655523121.883835</v>
      </c>
      <c r="AF21" s="319">
        <f>SUM(B21:AE21)</f>
        <v>1609665693656.5144</v>
      </c>
      <c r="AG21" s="342">
        <f>NPV(Summary!$D$6,B21:AE21)</f>
        <v>1185333046414.6912</v>
      </c>
    </row>
    <row r="22" spans="1:33">
      <c r="A22" s="341" t="s">
        <v>480</v>
      </c>
      <c r="B22" s="319">
        <f>SUM(B24:B27)</f>
        <v>152448933704.5871</v>
      </c>
      <c r="C22" s="319">
        <f t="shared" ref="C22:Z22" si="5">SUM(C24:C27)</f>
        <v>26056894968.121883</v>
      </c>
      <c r="D22" s="319">
        <f t="shared" si="5"/>
        <v>26056894968.121883</v>
      </c>
      <c r="E22" s="319">
        <f t="shared" si="5"/>
        <v>26056894968.121883</v>
      </c>
      <c r="F22" s="319">
        <f t="shared" si="5"/>
        <v>26056894968.121883</v>
      </c>
      <c r="G22" s="319">
        <f t="shared" si="5"/>
        <v>27422192687.271885</v>
      </c>
      <c r="H22" s="319">
        <f t="shared" si="5"/>
        <v>26056894968.121883</v>
      </c>
      <c r="I22" s="319">
        <f t="shared" si="5"/>
        <v>26056894968.121883</v>
      </c>
      <c r="J22" s="319">
        <f t="shared" si="5"/>
        <v>26056894968.121883</v>
      </c>
      <c r="K22" s="319">
        <f t="shared" si="5"/>
        <v>26056894968.121883</v>
      </c>
      <c r="L22" s="319">
        <f t="shared" si="5"/>
        <v>145497655344.16565</v>
      </c>
      <c r="M22" s="319">
        <f t="shared" si="5"/>
        <v>26056894968.121883</v>
      </c>
      <c r="N22" s="319">
        <f t="shared" si="5"/>
        <v>26056894968.121883</v>
      </c>
      <c r="O22" s="319">
        <f t="shared" si="5"/>
        <v>26056894968.121883</v>
      </c>
      <c r="P22" s="319">
        <f t="shared" si="5"/>
        <v>26056894968.121883</v>
      </c>
      <c r="Q22" s="319">
        <f t="shared" si="5"/>
        <v>27422192687.271885</v>
      </c>
      <c r="R22" s="319">
        <f t="shared" si="5"/>
        <v>26056894968.121883</v>
      </c>
      <c r="S22" s="319">
        <f t="shared" si="5"/>
        <v>26056894968.121883</v>
      </c>
      <c r="T22" s="319">
        <f t="shared" si="5"/>
        <v>26056894968.121883</v>
      </c>
      <c r="U22" s="319">
        <f t="shared" si="5"/>
        <v>26056894968.121883</v>
      </c>
      <c r="V22" s="319">
        <f t="shared" si="5"/>
        <v>26228394968.121883</v>
      </c>
      <c r="W22" s="319">
        <f t="shared" si="5"/>
        <v>145487155344.16565</v>
      </c>
      <c r="X22" s="319">
        <f t="shared" si="5"/>
        <v>26056894968.121883</v>
      </c>
      <c r="Y22" s="319">
        <f t="shared" si="5"/>
        <v>26056894968.121883</v>
      </c>
      <c r="Z22" s="319">
        <f t="shared" si="5"/>
        <v>19174616607.700401</v>
      </c>
      <c r="AA22" s="319">
        <f t="shared" ref="AA22:AE22" si="6">SUM(AA24:AA27)</f>
        <v>26056896568.121883</v>
      </c>
      <c r="AB22" s="319">
        <f t="shared" si="6"/>
        <v>26056898168.121883</v>
      </c>
      <c r="AC22" s="319">
        <f t="shared" si="6"/>
        <v>26056899768.121883</v>
      </c>
      <c r="AD22" s="319">
        <f t="shared" si="6"/>
        <v>26056901368.121883</v>
      </c>
      <c r="AE22" s="319">
        <f t="shared" si="6"/>
        <v>26056902968.121883</v>
      </c>
      <c r="AF22" s="319">
        <f t="shared" ref="AF22:AF28" si="7">SUM(B22:AE22)</f>
        <v>1142989749610.0869</v>
      </c>
      <c r="AG22" s="342">
        <f>NPV(Summary!$D$6,B22:AE22)</f>
        <v>868267490146.63269</v>
      </c>
    </row>
    <row r="23" spans="1:33">
      <c r="A23" s="341" t="s">
        <v>99</v>
      </c>
      <c r="B23" s="319">
        <f>SB!D73</f>
        <v>826309463.14972031</v>
      </c>
      <c r="C23" s="319">
        <f>SB!E73</f>
        <v>826309463.14972031</v>
      </c>
      <c r="D23" s="319">
        <f>SB!F73</f>
        <v>826309463.14972031</v>
      </c>
      <c r="E23" s="319">
        <f>SB!G73</f>
        <v>826309463.14972031</v>
      </c>
      <c r="F23" s="319">
        <f>SB!H73</f>
        <v>826309463.14972031</v>
      </c>
      <c r="G23" s="319">
        <f>SB!I73</f>
        <v>826309463.14972031</v>
      </c>
      <c r="H23" s="319">
        <f>SB!J73</f>
        <v>826309463.14972031</v>
      </c>
      <c r="I23" s="319">
        <f>SB!K73</f>
        <v>826309463.14972031</v>
      </c>
      <c r="J23" s="319">
        <f>SB!L73</f>
        <v>826309463.14972031</v>
      </c>
      <c r="K23" s="319">
        <f>SB!M73</f>
        <v>826309463.14972031</v>
      </c>
      <c r="L23" s="319">
        <f>SB!N73</f>
        <v>826309463.14972031</v>
      </c>
      <c r="M23" s="319">
        <f>SB!O73</f>
        <v>826309463.14972031</v>
      </c>
      <c r="N23" s="319">
        <f>SB!P73</f>
        <v>826309463.14972031</v>
      </c>
      <c r="O23" s="319">
        <f>SB!Q73</f>
        <v>826309463.14972031</v>
      </c>
      <c r="P23" s="319">
        <f>SB!R73</f>
        <v>826309463.14972031</v>
      </c>
      <c r="Q23" s="319">
        <f>SB!S73</f>
        <v>826309463.14972031</v>
      </c>
      <c r="R23" s="319">
        <f>SB!T73</f>
        <v>826309463.14972031</v>
      </c>
      <c r="S23" s="319">
        <f>SB!U73</f>
        <v>826309463.14972031</v>
      </c>
      <c r="T23" s="319">
        <f>SB!V73</f>
        <v>826309463.14972031</v>
      </c>
      <c r="U23" s="319">
        <f>SB!W73</f>
        <v>826309463.14972031</v>
      </c>
      <c r="V23" s="319">
        <f>SB!X73</f>
        <v>826309463.14972031</v>
      </c>
      <c r="W23" s="319">
        <f>SB!Y73</f>
        <v>826309463.14972031</v>
      </c>
      <c r="X23" s="319">
        <f>SB!Z73</f>
        <v>826309463.14972031</v>
      </c>
      <c r="Y23" s="319">
        <f>SB!AA73</f>
        <v>826309463.14972031</v>
      </c>
      <c r="Z23" s="319">
        <f>SB!AB73</f>
        <v>826309463.14972031</v>
      </c>
      <c r="AA23" s="319">
        <f>SB!AC73</f>
        <v>863249721.14972031</v>
      </c>
      <c r="AB23" s="319">
        <f>SB!AD73</f>
        <v>900189979.14972031</v>
      </c>
      <c r="AC23" s="319">
        <f>SB!AE73</f>
        <v>937130237.14972031</v>
      </c>
      <c r="AD23" s="319">
        <f>SB!AF73</f>
        <v>974070495.14972031</v>
      </c>
      <c r="AE23" s="319">
        <f>SB!AG73</f>
        <v>1011010753.1497203</v>
      </c>
      <c r="AF23" s="319">
        <f t="shared" si="7"/>
        <v>25343387764.491608</v>
      </c>
      <c r="AG23" s="342">
        <f>NPV(Summary!$D$6,B23:AE23)</f>
        <v>18559939210.847935</v>
      </c>
    </row>
    <row r="24" spans="1:33">
      <c r="A24" s="341" t="s">
        <v>72</v>
      </c>
      <c r="B24" s="319">
        <f>SB!D74</f>
        <v>119430260376.04375</v>
      </c>
      <c r="C24" s="319">
        <f>SB!E74</f>
        <v>0</v>
      </c>
      <c r="D24" s="319">
        <f>SB!F74</f>
        <v>0</v>
      </c>
      <c r="E24" s="319">
        <f>SB!G74</f>
        <v>0</v>
      </c>
      <c r="F24" s="319">
        <f>SB!H74</f>
        <v>0</v>
      </c>
      <c r="G24" s="319">
        <f>SB!I74</f>
        <v>1354797719.1500001</v>
      </c>
      <c r="H24" s="319">
        <f>SB!J74</f>
        <v>0</v>
      </c>
      <c r="I24" s="319">
        <f>SB!K74</f>
        <v>0</v>
      </c>
      <c r="J24" s="319">
        <f>SB!L74</f>
        <v>0</v>
      </c>
      <c r="K24" s="319">
        <f>SB!M74</f>
        <v>0</v>
      </c>
      <c r="L24" s="319">
        <f>SB!N74</f>
        <v>119430260376.04375</v>
      </c>
      <c r="M24" s="319">
        <f>SB!O74</f>
        <v>0</v>
      </c>
      <c r="N24" s="319">
        <f>SB!P74</f>
        <v>0</v>
      </c>
      <c r="O24" s="319">
        <f>SB!Q74</f>
        <v>0</v>
      </c>
      <c r="P24" s="319">
        <f>SB!R74</f>
        <v>0</v>
      </c>
      <c r="Q24" s="319">
        <f>SB!S74</f>
        <v>1354797719.1500001</v>
      </c>
      <c r="R24" s="319">
        <f>SB!T74</f>
        <v>0</v>
      </c>
      <c r="S24" s="319">
        <f>SB!U74</f>
        <v>0</v>
      </c>
      <c r="T24" s="319">
        <f>SB!V74</f>
        <v>0</v>
      </c>
      <c r="U24" s="319">
        <f>SB!W74</f>
        <v>0</v>
      </c>
      <c r="V24" s="319">
        <f>SB!X74</f>
        <v>0</v>
      </c>
      <c r="W24" s="319">
        <f>SB!Y74</f>
        <v>119430260376.04375</v>
      </c>
      <c r="X24" s="319">
        <f>SB!Z74</f>
        <v>0</v>
      </c>
      <c r="Y24" s="319">
        <f>SB!AA74</f>
        <v>0</v>
      </c>
      <c r="Z24" s="319">
        <f>SB!AB74</f>
        <v>0</v>
      </c>
      <c r="AA24" s="319">
        <f>SB!AC74</f>
        <v>0</v>
      </c>
      <c r="AB24" s="319">
        <f>SB!AD74</f>
        <v>0</v>
      </c>
      <c r="AC24" s="319">
        <f>SB!AE74</f>
        <v>0</v>
      </c>
      <c r="AD24" s="319">
        <f>SB!AF74</f>
        <v>0</v>
      </c>
      <c r="AE24" s="319">
        <f>SB!AG74</f>
        <v>0</v>
      </c>
      <c r="AF24" s="319">
        <f t="shared" si="7"/>
        <v>361000376566.43121</v>
      </c>
      <c r="AG24" s="342">
        <f>NPV(Summary!$D$6,B24:AE24)</f>
        <v>289769437112.99579</v>
      </c>
    </row>
    <row r="25" spans="1:33">
      <c r="A25" s="341" t="s">
        <v>62</v>
      </c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  <c r="Z25" s="319"/>
      <c r="AA25" s="319"/>
      <c r="AB25" s="319"/>
      <c r="AC25" s="319"/>
      <c r="AD25" s="319"/>
      <c r="AE25" s="319"/>
      <c r="AF25" s="319">
        <f t="shared" si="7"/>
        <v>0</v>
      </c>
      <c r="AG25" s="342">
        <f>NPV(Summary!$D$6,B25:AE25)</f>
        <v>0</v>
      </c>
    </row>
    <row r="26" spans="1:33">
      <c r="A26" s="344" t="s">
        <v>93</v>
      </c>
      <c r="B26" s="319">
        <f>SUM(SB!D76:D78)</f>
        <v>22114618404.921883</v>
      </c>
      <c r="C26" s="319">
        <f>SUM(SB!E76:E78)</f>
        <v>22114618404.921883</v>
      </c>
      <c r="D26" s="319">
        <f>SUM(SB!F76:F78)</f>
        <v>22114618404.921883</v>
      </c>
      <c r="E26" s="319">
        <f>SUM(SB!G76:G78)</f>
        <v>22114618404.921883</v>
      </c>
      <c r="F26" s="319">
        <f>SUM(SB!H76:H78)</f>
        <v>22114618404.921883</v>
      </c>
      <c r="G26" s="319">
        <f>SUM(SB!I76:I78)</f>
        <v>22114618404.921883</v>
      </c>
      <c r="H26" s="319">
        <f>SUM(SB!J76:J78)</f>
        <v>22114618404.921883</v>
      </c>
      <c r="I26" s="319">
        <f>SUM(SB!K76:K78)</f>
        <v>22114618404.921883</v>
      </c>
      <c r="J26" s="319">
        <f>SUM(SB!L76:L78)</f>
        <v>22114618404.921883</v>
      </c>
      <c r="K26" s="319">
        <f>SUM(SB!M76:M78)</f>
        <v>22114618404.921883</v>
      </c>
      <c r="L26" s="319">
        <f>SUM(SB!N76:N78)</f>
        <v>22114618404.921883</v>
      </c>
      <c r="M26" s="319">
        <f>SUM(SB!O76:O78)</f>
        <v>22114618404.921883</v>
      </c>
      <c r="N26" s="319">
        <f>SUM(SB!P76:P78)</f>
        <v>22114618404.921883</v>
      </c>
      <c r="O26" s="319">
        <f>SUM(SB!Q76:Q78)</f>
        <v>22114618404.921883</v>
      </c>
      <c r="P26" s="319">
        <f>SUM(SB!R76:R78)</f>
        <v>22114618404.921883</v>
      </c>
      <c r="Q26" s="319">
        <f>SUM(SB!S76:S78)</f>
        <v>22114618404.921883</v>
      </c>
      <c r="R26" s="319">
        <f>SUM(SB!T76:T78)</f>
        <v>22114618404.921883</v>
      </c>
      <c r="S26" s="319">
        <f>SUM(SB!U76:U78)</f>
        <v>22114618404.921883</v>
      </c>
      <c r="T26" s="319">
        <f>SUM(SB!V76:V78)</f>
        <v>22114618404.921883</v>
      </c>
      <c r="U26" s="319">
        <f>SUM(SB!W76:W78)</f>
        <v>22114618404.921883</v>
      </c>
      <c r="V26" s="319">
        <f>SUM(SB!X76:X78)</f>
        <v>22114618404.921883</v>
      </c>
      <c r="W26" s="319">
        <f>SUM(SB!Y76:Y78)</f>
        <v>22114618404.921883</v>
      </c>
      <c r="X26" s="319">
        <f>SUM(SB!Z76:Z78)</f>
        <v>22114618404.921883</v>
      </c>
      <c r="Y26" s="319">
        <f>SUM(SB!AA76:AA78)</f>
        <v>22114618404.921883</v>
      </c>
      <c r="Z26" s="319">
        <f>SUM(SB!AB76:AB78)</f>
        <v>22114618404.921883</v>
      </c>
      <c r="AA26" s="319">
        <f>SUM(SB!AC76:AC78)</f>
        <v>22114618404.921883</v>
      </c>
      <c r="AB26" s="319">
        <f>SUM(SB!AD76:AD78)</f>
        <v>22114618404.921883</v>
      </c>
      <c r="AC26" s="319">
        <f>SUM(SB!AE76:AE78)</f>
        <v>22114618404.921883</v>
      </c>
      <c r="AD26" s="319">
        <f>SUM(SB!AF76:AF78)</f>
        <v>22114618404.921883</v>
      </c>
      <c r="AE26" s="319">
        <f>SUM(SB!AG76:AG78)</f>
        <v>22114618404.921883</v>
      </c>
      <c r="AF26" s="319">
        <f t="shared" si="7"/>
        <v>663438552147.65637</v>
      </c>
      <c r="AG26" s="342">
        <f>NPV(Summary!$D$6,B26:AE26)</f>
        <v>488545940455.34888</v>
      </c>
    </row>
    <row r="27" spans="1:33">
      <c r="A27" s="344" t="s">
        <v>73</v>
      </c>
      <c r="B27" s="319">
        <f>SB!D79-SB!D74</f>
        <v>10904054923.621475</v>
      </c>
      <c r="C27" s="319">
        <f>SB!E79-SB!E74</f>
        <v>3942276563.1999998</v>
      </c>
      <c r="D27" s="319">
        <f>SB!F79-SB!F74</f>
        <v>3942276563.1999998</v>
      </c>
      <c r="E27" s="319">
        <f>SB!G79-SB!G74</f>
        <v>3942276563.1999998</v>
      </c>
      <c r="F27" s="319">
        <f>SB!H79-SB!H74</f>
        <v>3942276563.1999998</v>
      </c>
      <c r="G27" s="319">
        <f>SB!I79-SB!I74</f>
        <v>3952776563.2000003</v>
      </c>
      <c r="H27" s="319">
        <f>SB!J79-SB!J74</f>
        <v>3942276563.1999998</v>
      </c>
      <c r="I27" s="319">
        <f>SB!K79-SB!K74</f>
        <v>3942276563.1999998</v>
      </c>
      <c r="J27" s="319">
        <f>SB!L79-SB!L74</f>
        <v>3942276563.1999998</v>
      </c>
      <c r="K27" s="319">
        <f>SB!M79-SB!M74</f>
        <v>3942276563.1999998</v>
      </c>
      <c r="L27" s="319">
        <f>SB!N79-SB!N74</f>
        <v>3952776563.1999969</v>
      </c>
      <c r="M27" s="319">
        <f>SB!O79-SB!O74</f>
        <v>3942276563.1999998</v>
      </c>
      <c r="N27" s="319">
        <f>SB!P79-SB!P74</f>
        <v>3942276563.1999998</v>
      </c>
      <c r="O27" s="319">
        <f>SB!Q79-SB!Q74</f>
        <v>3942276563.1999998</v>
      </c>
      <c r="P27" s="319">
        <f>SB!R79-SB!R74</f>
        <v>3942276563.1999998</v>
      </c>
      <c r="Q27" s="319">
        <f>SB!S79-SB!S74</f>
        <v>3952776563.2000003</v>
      </c>
      <c r="R27" s="319">
        <f>SB!T79-SB!T74</f>
        <v>3942276563.1999998</v>
      </c>
      <c r="S27" s="319">
        <f>SB!U79-SB!U74</f>
        <v>3942276563.1999998</v>
      </c>
      <c r="T27" s="319">
        <f>SB!V79-SB!V74</f>
        <v>3942276563.1999998</v>
      </c>
      <c r="U27" s="319">
        <f>SB!W79-SB!W74</f>
        <v>3942276563.1999998</v>
      </c>
      <c r="V27" s="319">
        <f>SB!X79-SB!X74</f>
        <v>4113776563.1999998</v>
      </c>
      <c r="W27" s="319">
        <f>SB!Y79-SB!Y74</f>
        <v>3942276563.1999969</v>
      </c>
      <c r="X27" s="319">
        <f>SB!Z79-SB!Z74</f>
        <v>3942276563.1999998</v>
      </c>
      <c r="Y27" s="319">
        <f>SB!AA79-SB!AA74</f>
        <v>3942276563.1999998</v>
      </c>
      <c r="Z27" s="319">
        <f>SB!AB79-SB!AB74</f>
        <v>-2940001797.2214794</v>
      </c>
      <c r="AA27" s="319">
        <f>SB!AC79-SB!AC74</f>
        <v>3942278163.1999998</v>
      </c>
      <c r="AB27" s="319">
        <f>SB!AD79-SB!AD74</f>
        <v>3942279763.1999998</v>
      </c>
      <c r="AC27" s="319">
        <f>SB!AE79-SB!AE74</f>
        <v>3942281363.1999998</v>
      </c>
      <c r="AD27" s="319">
        <f>SB!AF79-SB!AF74</f>
        <v>3942282963.1999998</v>
      </c>
      <c r="AE27" s="319">
        <f>SB!AG79-SB!AG74</f>
        <v>3942284563.1999998</v>
      </c>
      <c r="AF27" s="319">
        <f t="shared" si="7"/>
        <v>118550820895.99994</v>
      </c>
      <c r="AG27" s="342">
        <f>NPV(Summary!$D$6,B27:AE27)</f>
        <v>89952112578.288269</v>
      </c>
    </row>
    <row r="28" spans="1:33" ht="14.4" thickBot="1">
      <c r="A28" s="345" t="s">
        <v>143</v>
      </c>
      <c r="B28" s="322">
        <f>B21-B23-B24-B26-B27</f>
        <v>-99619720045.852982</v>
      </c>
      <c r="C28" s="322">
        <f t="shared" ref="C28:Z28" si="8">C21-C23-C24-C26-C27</f>
        <v>26772318690.612232</v>
      </c>
      <c r="D28" s="322">
        <f t="shared" si="8"/>
        <v>26772318690.612232</v>
      </c>
      <c r="E28" s="322">
        <f t="shared" si="8"/>
        <v>26772318690.612232</v>
      </c>
      <c r="F28" s="322">
        <f t="shared" si="8"/>
        <v>26772318690.612232</v>
      </c>
      <c r="G28" s="322">
        <f t="shared" si="8"/>
        <v>25407020971.462231</v>
      </c>
      <c r="H28" s="322">
        <f t="shared" si="8"/>
        <v>26772318690.612232</v>
      </c>
      <c r="I28" s="322">
        <f t="shared" si="8"/>
        <v>26772318690.612232</v>
      </c>
      <c r="J28" s="322">
        <f t="shared" si="8"/>
        <v>26772318690.612232</v>
      </c>
      <c r="K28" s="322">
        <f t="shared" si="8"/>
        <v>26772318690.612232</v>
      </c>
      <c r="L28" s="322">
        <f t="shared" si="8"/>
        <v>-92668441685.431503</v>
      </c>
      <c r="M28" s="322">
        <f t="shared" si="8"/>
        <v>26772318690.612232</v>
      </c>
      <c r="N28" s="322">
        <f t="shared" si="8"/>
        <v>26772318690.612232</v>
      </c>
      <c r="O28" s="322">
        <f t="shared" si="8"/>
        <v>26772318690.612232</v>
      </c>
      <c r="P28" s="322">
        <f t="shared" si="8"/>
        <v>26772318690.612232</v>
      </c>
      <c r="Q28" s="322">
        <f t="shared" si="8"/>
        <v>25407020971.462231</v>
      </c>
      <c r="R28" s="322">
        <f t="shared" si="8"/>
        <v>26772318690.612232</v>
      </c>
      <c r="S28" s="322">
        <f t="shared" si="8"/>
        <v>26772318690.612232</v>
      </c>
      <c r="T28" s="322">
        <f t="shared" si="8"/>
        <v>26772318690.612232</v>
      </c>
      <c r="U28" s="322">
        <f t="shared" si="8"/>
        <v>26772318690.612232</v>
      </c>
      <c r="V28" s="322">
        <f t="shared" si="8"/>
        <v>26600818690.612232</v>
      </c>
      <c r="W28" s="322">
        <f t="shared" si="8"/>
        <v>-92657941685.431503</v>
      </c>
      <c r="X28" s="322">
        <f t="shared" si="8"/>
        <v>26772318690.612232</v>
      </c>
      <c r="Y28" s="322">
        <f t="shared" si="8"/>
        <v>26772318690.612232</v>
      </c>
      <c r="Z28" s="322">
        <f t="shared" si="8"/>
        <v>33654597051.033714</v>
      </c>
      <c r="AA28" s="322">
        <f t="shared" ref="AA28:AE28" si="9">AA21-AA23-AA24-AA26-AA27</f>
        <v>26735376832.612232</v>
      </c>
      <c r="AB28" s="322">
        <f t="shared" si="9"/>
        <v>26698434974.612232</v>
      </c>
      <c r="AC28" s="322">
        <f t="shared" si="9"/>
        <v>26661493116.612232</v>
      </c>
      <c r="AD28" s="322">
        <f t="shared" si="9"/>
        <v>26624551258.612232</v>
      </c>
      <c r="AE28" s="322">
        <f t="shared" si="9"/>
        <v>26587609400.612232</v>
      </c>
      <c r="AF28" s="319">
        <f t="shared" si="7"/>
        <v>441332556281.93585</v>
      </c>
      <c r="AG28" s="342">
        <f>NPV(Summary!$D$6,B28:AE28)</f>
        <v>298505617057.21045</v>
      </c>
    </row>
    <row r="29" spans="1:33">
      <c r="A29" s="332" t="s">
        <v>147</v>
      </c>
      <c r="B29" s="346">
        <f>SUM(B23:B27)/Produksi!$AG$5</f>
        <v>3406116.5148385959</v>
      </c>
      <c r="C29" s="346">
        <f>SUM(C23:C27)/Produksi!$AG$5</f>
        <v>597404.5429171467</v>
      </c>
      <c r="D29" s="346">
        <f>SUM(D23:D27)/Produksi!$AG$5</f>
        <v>597404.5429171467</v>
      </c>
      <c r="E29" s="346">
        <f>SUM(E23:E27)/Produksi!$AG$5</f>
        <v>597404.5429171467</v>
      </c>
      <c r="F29" s="346">
        <f>SUM(F23:F27)/Produksi!$AG$5</f>
        <v>597404.5429171467</v>
      </c>
      <c r="G29" s="346">
        <f>SUM(G23:G27)/Produksi!$AG$5</f>
        <v>627744.49223159126</v>
      </c>
      <c r="H29" s="346">
        <f>SUM(H23:H27)/Produksi!$AG$5</f>
        <v>597404.5429171467</v>
      </c>
      <c r="I29" s="346">
        <f>SUM(I23:I27)/Produksi!$AG$5</f>
        <v>597404.5429171467</v>
      </c>
      <c r="J29" s="346">
        <f>SUM(J23:J27)/Produksi!$AG$5</f>
        <v>597404.5429171467</v>
      </c>
      <c r="K29" s="346">
        <f>SUM(K23:K27)/Produksi!$AG$5</f>
        <v>597404.5429171467</v>
      </c>
      <c r="L29" s="346">
        <f>SUM(L23:L27)/Produksi!$AG$5</f>
        <v>3251643.6623847862</v>
      </c>
      <c r="M29" s="346">
        <f>SUM(M23:M27)/Produksi!$AG$5</f>
        <v>597404.5429171467</v>
      </c>
      <c r="N29" s="346">
        <f>SUM(N23:N27)/Produksi!$AG$5</f>
        <v>597404.5429171467</v>
      </c>
      <c r="O29" s="346">
        <f>SUM(O23:O27)/Produksi!$AG$5</f>
        <v>597404.5429171467</v>
      </c>
      <c r="P29" s="346">
        <f>SUM(P23:P27)/Produksi!$AG$5</f>
        <v>597404.5429171467</v>
      </c>
      <c r="Q29" s="346">
        <f>SUM(Q23:Q27)/Produksi!$AG$5</f>
        <v>627744.49223159126</v>
      </c>
      <c r="R29" s="346">
        <f>SUM(R23:R27)/Produksi!$AG$5</f>
        <v>597404.5429171467</v>
      </c>
      <c r="S29" s="346">
        <f>SUM(S23:S27)/Produksi!$AG$5</f>
        <v>597404.5429171467</v>
      </c>
      <c r="T29" s="346">
        <f>SUM(T23:T27)/Produksi!$AG$5</f>
        <v>597404.5429171467</v>
      </c>
      <c r="U29" s="346">
        <f>SUM(U23:U27)/Produksi!$AG$5</f>
        <v>597404.5429171467</v>
      </c>
      <c r="V29" s="346">
        <f>SUM(V23:V27)/Produksi!$AG$5</f>
        <v>601215.65402825782</v>
      </c>
      <c r="W29" s="346">
        <f>SUM(W23:W27)/Produksi!$AG$5</f>
        <v>3251410.3290514527</v>
      </c>
      <c r="X29" s="346">
        <f>SUM(X23:X27)/Produksi!$AG$5</f>
        <v>597404.5429171467</v>
      </c>
      <c r="Y29" s="346">
        <f>SUM(Y23:Y27)/Produksi!$AG$5</f>
        <v>597404.5429171467</v>
      </c>
      <c r="Z29" s="346">
        <f>SUM(Z23:Z27)/Produksi!$AG$5</f>
        <v>444465.02379666932</v>
      </c>
      <c r="AA29" s="346"/>
      <c r="AB29" s="346"/>
      <c r="AC29" s="346"/>
      <c r="AD29" s="346"/>
      <c r="AE29" s="346"/>
      <c r="AF29" s="346"/>
      <c r="AG29" s="346"/>
    </row>
    <row r="30" spans="1:33">
      <c r="A30" s="332" t="s">
        <v>144</v>
      </c>
      <c r="B30" s="330">
        <f>B28/Produksi!$AG$5</f>
        <v>-2213771.5565745109</v>
      </c>
      <c r="C30" s="330">
        <f>C28/Produksi!$AG$5</f>
        <v>594940.41534693853</v>
      </c>
      <c r="D30" s="330">
        <f>D28/Produksi!$AG$5</f>
        <v>594940.41534693853</v>
      </c>
      <c r="E30" s="330">
        <f>E28/Produksi!$AG$5</f>
        <v>594940.41534693853</v>
      </c>
      <c r="F30" s="330">
        <f>F28/Produksi!$AG$5</f>
        <v>594940.41534693853</v>
      </c>
      <c r="G30" s="330">
        <f>G28/Produksi!$AG$5</f>
        <v>564600.46603249398</v>
      </c>
      <c r="H30" s="330">
        <f>H28/Produksi!$AG$5</f>
        <v>594940.41534693853</v>
      </c>
      <c r="I30" s="330">
        <f>I28/Produksi!$AG$5</f>
        <v>594940.41534693853</v>
      </c>
      <c r="J30" s="330">
        <f>J28/Produksi!$AG$5</f>
        <v>594940.41534693853</v>
      </c>
      <c r="K30" s="330">
        <f>K28/Produksi!$AG$5</f>
        <v>594940.41534693853</v>
      </c>
      <c r="L30" s="330">
        <f>L28/Produksi!$AG$5</f>
        <v>-2059298.7041207</v>
      </c>
      <c r="M30" s="330">
        <f>M28/Produksi!$AG$5</f>
        <v>594940.41534693853</v>
      </c>
      <c r="N30" s="330">
        <f>N28/Produksi!$AG$5</f>
        <v>594940.41534693853</v>
      </c>
      <c r="O30" s="330">
        <f>O28/Produksi!$AG$5</f>
        <v>594940.41534693853</v>
      </c>
      <c r="P30" s="330">
        <f>P28/Produksi!$AG$5</f>
        <v>594940.41534693853</v>
      </c>
      <c r="Q30" s="330">
        <f>Q28/Produksi!$AG$5</f>
        <v>564600.46603249398</v>
      </c>
      <c r="R30" s="330">
        <f>R28/Produksi!$AG$5</f>
        <v>594940.41534693853</v>
      </c>
      <c r="S30" s="330">
        <f>S28/Produksi!$AG$5</f>
        <v>594940.41534693853</v>
      </c>
      <c r="T30" s="330">
        <f>T28/Produksi!$AG$5</f>
        <v>594940.41534693853</v>
      </c>
      <c r="U30" s="330">
        <f>U28/Produksi!$AG$5</f>
        <v>594940.41534693853</v>
      </c>
      <c r="V30" s="330">
        <f>V28/Produksi!$AG$5</f>
        <v>591129.30423582741</v>
      </c>
      <c r="W30" s="330">
        <f>W28/Produksi!$AG$5</f>
        <v>-2059065.3707873668</v>
      </c>
      <c r="X30" s="330">
        <f>X28/Produksi!$AG$5</f>
        <v>594940.41534693853</v>
      </c>
      <c r="Y30" s="330">
        <f>Y28/Produksi!$AG$5</f>
        <v>594940.41534693853</v>
      </c>
      <c r="Z30" s="330">
        <f>Z28/Produksi!$AG$5</f>
        <v>747879.93446741591</v>
      </c>
    </row>
    <row r="32" spans="1:33">
      <c r="A32" s="326" t="s">
        <v>152</v>
      </c>
      <c r="B32" s="362">
        <v>2</v>
      </c>
    </row>
    <row r="33" spans="1:3">
      <c r="A33" s="332" t="s">
        <v>149</v>
      </c>
      <c r="B33" s="330" t="s">
        <v>87</v>
      </c>
      <c r="C33" s="330" t="s">
        <v>153</v>
      </c>
    </row>
    <row r="34" spans="1:3">
      <c r="A34" s="348" t="s">
        <v>150</v>
      </c>
      <c r="B34" s="330">
        <f>SUM(B15)</f>
        <v>1660263.3167621053</v>
      </c>
      <c r="C34" s="330">
        <f>AVERAGE(B15)</f>
        <v>1660263.3167621053</v>
      </c>
    </row>
    <row r="35" spans="1:3">
      <c r="A35" s="348" t="s">
        <v>151</v>
      </c>
      <c r="B35" s="330">
        <f>SUM(B29)</f>
        <v>3406116.5148385959</v>
      </c>
      <c r="C35" s="330">
        <f>AVERAGE(B29)</f>
        <v>3406116.5148385959</v>
      </c>
    </row>
    <row r="36" spans="1:3">
      <c r="A36" s="332"/>
    </row>
    <row r="37" spans="1:3">
      <c r="A37" s="349" t="s">
        <v>478</v>
      </c>
    </row>
    <row r="38" spans="1:3">
      <c r="A38" s="348" t="s">
        <v>150</v>
      </c>
      <c r="B38" s="350">
        <f>AG7/AG8</f>
        <v>1.039807373476165</v>
      </c>
    </row>
    <row r="39" spans="1:3">
      <c r="A39" s="348" t="s">
        <v>151</v>
      </c>
      <c r="B39" s="350">
        <f>AG21/AG22</f>
        <v>1.3651703649695701</v>
      </c>
    </row>
    <row r="40" spans="1:3">
      <c r="B40" s="350"/>
    </row>
    <row r="41" spans="1:3">
      <c r="A41" s="326" t="s">
        <v>479</v>
      </c>
      <c r="B41" s="350"/>
    </row>
    <row r="42" spans="1:3">
      <c r="A42" s="348" t="s">
        <v>150</v>
      </c>
      <c r="B42" s="326" t="e">
        <f>IRR(B14:Z14,0.9)</f>
        <v>#DIV/0!</v>
      </c>
    </row>
    <row r="43" spans="1:3">
      <c r="A43" s="348" t="s">
        <v>151</v>
      </c>
      <c r="B43" s="330">
        <f>IRR(B28:Z28)</f>
        <v>0.22663532000468253</v>
      </c>
    </row>
  </sheetData>
  <phoneticPr fontId="5" type="noConversion"/>
  <pageMargins left="0.75" right="0.75" top="1" bottom="1" header="0.5" footer="0.5"/>
  <pageSetup paperSize="9" scale="95" orientation="landscape" r:id="rId1"/>
  <headerFooter alignWithMargins="0">
    <oddHeader>&amp;Rpage&amp;P of &amp;N</oddHeader>
    <oddFooter>&amp;L&amp;D
&amp;T&amp;R&amp;F \&amp;A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dimension ref="A1:AG44"/>
  <sheetViews>
    <sheetView zoomScaleNormal="100" workbookViewId="0">
      <selection activeCell="C7" sqref="C7"/>
    </sheetView>
  </sheetViews>
  <sheetFormatPr defaultColWidth="9.109375" defaultRowHeight="15"/>
  <cols>
    <col min="1" max="1" width="3" style="392" customWidth="1"/>
    <col min="2" max="2" width="27" style="392" customWidth="1"/>
    <col min="3" max="3" width="9.88671875" style="392" bestFit="1" customWidth="1"/>
    <col min="4" max="5" width="8.6640625" style="392" bestFit="1" customWidth="1"/>
    <col min="6" max="6" width="9.88671875" style="392" bestFit="1" customWidth="1"/>
    <col min="7" max="32" width="6.88671875" style="392" bestFit="1" customWidth="1"/>
    <col min="33" max="33" width="9" style="392" bestFit="1" customWidth="1"/>
    <col min="34" max="16384" width="9.109375" style="392"/>
  </cols>
  <sheetData>
    <row r="1" spans="1:33" ht="20.399999999999999">
      <c r="A1" s="391" t="s">
        <v>485</v>
      </c>
    </row>
    <row r="2" spans="1:33" s="393" customFormat="1" ht="13.2">
      <c r="A2" s="393" t="s">
        <v>232</v>
      </c>
      <c r="B2" s="394"/>
      <c r="C2" s="394"/>
      <c r="D2" s="395"/>
    </row>
    <row r="3" spans="1:33" s="393" customFormat="1" ht="13.2">
      <c r="B3" s="432" t="s">
        <v>26</v>
      </c>
      <c r="C3" s="396">
        <v>1</v>
      </c>
      <c r="D3" s="397">
        <v>2</v>
      </c>
      <c r="E3" s="396">
        <v>3</v>
      </c>
      <c r="F3" s="397">
        <v>4</v>
      </c>
      <c r="G3" s="396">
        <v>5</v>
      </c>
      <c r="H3" s="397">
        <v>6</v>
      </c>
      <c r="I3" s="396">
        <v>7</v>
      </c>
      <c r="J3" s="397">
        <v>8</v>
      </c>
      <c r="K3" s="396">
        <v>9</v>
      </c>
      <c r="L3" s="397">
        <v>10</v>
      </c>
      <c r="M3" s="396">
        <v>11</v>
      </c>
      <c r="N3" s="397">
        <v>12</v>
      </c>
      <c r="O3" s="396">
        <v>13</v>
      </c>
      <c r="P3" s="397">
        <v>14</v>
      </c>
      <c r="Q3" s="396">
        <v>15</v>
      </c>
      <c r="R3" s="397">
        <v>16</v>
      </c>
      <c r="S3" s="396">
        <v>17</v>
      </c>
      <c r="T3" s="397">
        <v>18</v>
      </c>
      <c r="U3" s="396">
        <v>19</v>
      </c>
      <c r="V3" s="397">
        <v>20</v>
      </c>
      <c r="W3" s="396">
        <v>21</v>
      </c>
      <c r="X3" s="397">
        <v>22</v>
      </c>
      <c r="Y3" s="396">
        <v>23</v>
      </c>
      <c r="Z3" s="397">
        <v>24</v>
      </c>
      <c r="AA3" s="396">
        <v>25</v>
      </c>
      <c r="AB3" s="397">
        <v>26</v>
      </c>
      <c r="AC3" s="396">
        <v>27</v>
      </c>
      <c r="AD3" s="397">
        <v>28</v>
      </c>
      <c r="AE3" s="396">
        <v>29</v>
      </c>
      <c r="AF3" s="397">
        <v>30</v>
      </c>
      <c r="AG3" s="434" t="s">
        <v>87</v>
      </c>
    </row>
    <row r="4" spans="1:33" s="398" customFormat="1" ht="13.2">
      <c r="B4" s="433"/>
      <c r="C4" s="396">
        <v>1987</v>
      </c>
      <c r="D4" s="396">
        <v>1988</v>
      </c>
      <c r="E4" s="396">
        <v>1989</v>
      </c>
      <c r="F4" s="396">
        <v>1990</v>
      </c>
      <c r="G4" s="396">
        <v>1991</v>
      </c>
      <c r="H4" s="396">
        <v>1992</v>
      </c>
      <c r="I4" s="396">
        <v>1993</v>
      </c>
      <c r="J4" s="396">
        <v>1994</v>
      </c>
      <c r="K4" s="396">
        <v>1995</v>
      </c>
      <c r="L4" s="396">
        <v>1996</v>
      </c>
      <c r="M4" s="396">
        <v>1997</v>
      </c>
      <c r="N4" s="396">
        <v>1998</v>
      </c>
      <c r="O4" s="396">
        <v>1999</v>
      </c>
      <c r="P4" s="396">
        <v>2000</v>
      </c>
      <c r="Q4" s="396">
        <v>2001</v>
      </c>
      <c r="R4" s="396">
        <v>2002</v>
      </c>
      <c r="S4" s="396">
        <v>2003</v>
      </c>
      <c r="T4" s="396">
        <v>2004</v>
      </c>
      <c r="U4" s="396">
        <v>2005</v>
      </c>
      <c r="V4" s="396">
        <v>2006</v>
      </c>
      <c r="W4" s="396">
        <v>2007</v>
      </c>
      <c r="X4" s="396">
        <v>2008</v>
      </c>
      <c r="Y4" s="396"/>
      <c r="Z4" s="396"/>
      <c r="AA4" s="396"/>
      <c r="AB4" s="399"/>
      <c r="AC4" s="399"/>
      <c r="AD4" s="399"/>
      <c r="AE4" s="399"/>
      <c r="AF4" s="399"/>
      <c r="AG4" s="435"/>
    </row>
    <row r="5" spans="1:33" s="393" customFormat="1" ht="19.5" customHeight="1">
      <c r="B5" s="400" t="s">
        <v>27</v>
      </c>
      <c r="C5" s="401">
        <v>1500</v>
      </c>
      <c r="D5" s="401">
        <v>1500</v>
      </c>
      <c r="E5" s="401">
        <v>1500</v>
      </c>
      <c r="F5" s="401">
        <v>1500</v>
      </c>
      <c r="G5" s="401">
        <v>1500</v>
      </c>
      <c r="H5" s="401">
        <v>1500</v>
      </c>
      <c r="I5" s="401">
        <v>1500</v>
      </c>
      <c r="J5" s="401">
        <v>1500</v>
      </c>
      <c r="K5" s="401">
        <v>1500</v>
      </c>
      <c r="L5" s="401">
        <v>1500</v>
      </c>
      <c r="M5" s="401">
        <v>1500</v>
      </c>
      <c r="N5" s="401">
        <v>1500</v>
      </c>
      <c r="O5" s="401">
        <v>1500</v>
      </c>
      <c r="P5" s="401">
        <v>1500</v>
      </c>
      <c r="Q5" s="401">
        <v>1500</v>
      </c>
      <c r="R5" s="401">
        <v>1500</v>
      </c>
      <c r="S5" s="401">
        <v>1500</v>
      </c>
      <c r="T5" s="401">
        <v>1500</v>
      </c>
      <c r="U5" s="401">
        <v>1500</v>
      </c>
      <c r="V5" s="401">
        <v>1500</v>
      </c>
      <c r="W5" s="401">
        <v>1500</v>
      </c>
      <c r="X5" s="401">
        <v>1500</v>
      </c>
      <c r="Y5" s="401">
        <v>1500</v>
      </c>
      <c r="Z5" s="401">
        <v>1500</v>
      </c>
      <c r="AA5" s="401">
        <v>1500</v>
      </c>
      <c r="AB5" s="401">
        <v>1500</v>
      </c>
      <c r="AC5" s="401">
        <v>1500</v>
      </c>
      <c r="AD5" s="401">
        <v>1500</v>
      </c>
      <c r="AE5" s="401">
        <v>1500</v>
      </c>
      <c r="AF5" s="401">
        <v>1500</v>
      </c>
      <c r="AG5" s="402">
        <f>SUM(C5:AF5)</f>
        <v>45000</v>
      </c>
    </row>
    <row r="6" spans="1:33" s="393" customFormat="1" ht="13.2">
      <c r="B6" s="400" t="s">
        <v>506</v>
      </c>
      <c r="C6" s="400"/>
      <c r="D6" s="400"/>
      <c r="E6" s="400"/>
      <c r="F6" s="400"/>
      <c r="G6" s="400"/>
      <c r="H6" s="400"/>
      <c r="I6" s="400"/>
      <c r="J6" s="400"/>
      <c r="K6" s="400"/>
      <c r="L6" s="400"/>
      <c r="M6" s="400"/>
      <c r="N6" s="400"/>
      <c r="O6" s="400"/>
      <c r="P6" s="400"/>
      <c r="Q6" s="400"/>
      <c r="R6" s="400"/>
      <c r="S6" s="400"/>
      <c r="T6" s="400"/>
      <c r="U6" s="400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402"/>
    </row>
    <row r="7" spans="1:33" s="404" customFormat="1" ht="20.25" customHeight="1">
      <c r="B7" s="405" t="s">
        <v>87</v>
      </c>
      <c r="C7" s="406">
        <f t="shared" ref="C7:AF7" si="0">C5*$C$17</f>
        <v>27000</v>
      </c>
      <c r="D7" s="406">
        <f t="shared" si="0"/>
        <v>27000</v>
      </c>
      <c r="E7" s="406">
        <f t="shared" si="0"/>
        <v>27000</v>
      </c>
      <c r="F7" s="406">
        <f t="shared" si="0"/>
        <v>27000</v>
      </c>
      <c r="G7" s="406">
        <f t="shared" si="0"/>
        <v>27000</v>
      </c>
      <c r="H7" s="406">
        <f t="shared" si="0"/>
        <v>27000</v>
      </c>
      <c r="I7" s="406">
        <f t="shared" si="0"/>
        <v>27000</v>
      </c>
      <c r="J7" s="406">
        <f t="shared" si="0"/>
        <v>27000</v>
      </c>
      <c r="K7" s="406">
        <f t="shared" si="0"/>
        <v>27000</v>
      </c>
      <c r="L7" s="406">
        <f t="shared" si="0"/>
        <v>27000</v>
      </c>
      <c r="M7" s="406">
        <f t="shared" si="0"/>
        <v>27000</v>
      </c>
      <c r="N7" s="406">
        <f t="shared" si="0"/>
        <v>27000</v>
      </c>
      <c r="O7" s="406">
        <f t="shared" si="0"/>
        <v>27000</v>
      </c>
      <c r="P7" s="406">
        <f t="shared" si="0"/>
        <v>27000</v>
      </c>
      <c r="Q7" s="406">
        <f t="shared" si="0"/>
        <v>27000</v>
      </c>
      <c r="R7" s="406">
        <f t="shared" si="0"/>
        <v>27000</v>
      </c>
      <c r="S7" s="406">
        <f t="shared" si="0"/>
        <v>27000</v>
      </c>
      <c r="T7" s="406">
        <f t="shared" si="0"/>
        <v>27000</v>
      </c>
      <c r="U7" s="406">
        <f t="shared" si="0"/>
        <v>27000</v>
      </c>
      <c r="V7" s="406">
        <f t="shared" si="0"/>
        <v>27000</v>
      </c>
      <c r="W7" s="406">
        <f t="shared" si="0"/>
        <v>27000</v>
      </c>
      <c r="X7" s="406">
        <f t="shared" si="0"/>
        <v>27000</v>
      </c>
      <c r="Y7" s="406">
        <f t="shared" si="0"/>
        <v>27000</v>
      </c>
      <c r="Z7" s="406">
        <f t="shared" si="0"/>
        <v>27000</v>
      </c>
      <c r="AA7" s="406">
        <f t="shared" si="0"/>
        <v>27000</v>
      </c>
      <c r="AB7" s="406">
        <f t="shared" si="0"/>
        <v>27000</v>
      </c>
      <c r="AC7" s="406">
        <f t="shared" si="0"/>
        <v>27000</v>
      </c>
      <c r="AD7" s="406">
        <f t="shared" si="0"/>
        <v>27000</v>
      </c>
      <c r="AE7" s="406">
        <f t="shared" si="0"/>
        <v>27000</v>
      </c>
      <c r="AF7" s="406">
        <f t="shared" si="0"/>
        <v>27000</v>
      </c>
      <c r="AG7" s="401">
        <f>SUM(C7:AF7)</f>
        <v>810000</v>
      </c>
    </row>
    <row r="8" spans="1:33" s="404" customFormat="1" ht="20.25" customHeight="1">
      <c r="B8" s="405" t="s">
        <v>507</v>
      </c>
      <c r="C8" s="406">
        <f>C7*$C$10</f>
        <v>27000</v>
      </c>
      <c r="D8" s="406">
        <f t="shared" ref="D8:AF8" si="1">D7*$C$10</f>
        <v>27000</v>
      </c>
      <c r="E8" s="406">
        <f t="shared" si="1"/>
        <v>27000</v>
      </c>
      <c r="F8" s="406">
        <f t="shared" si="1"/>
        <v>27000</v>
      </c>
      <c r="G8" s="406">
        <f t="shared" si="1"/>
        <v>27000</v>
      </c>
      <c r="H8" s="406">
        <f t="shared" si="1"/>
        <v>27000</v>
      </c>
      <c r="I8" s="406">
        <f t="shared" si="1"/>
        <v>27000</v>
      </c>
      <c r="J8" s="406">
        <f t="shared" si="1"/>
        <v>27000</v>
      </c>
      <c r="K8" s="406">
        <f t="shared" si="1"/>
        <v>27000</v>
      </c>
      <c r="L8" s="406">
        <f t="shared" si="1"/>
        <v>27000</v>
      </c>
      <c r="M8" s="406">
        <f t="shared" si="1"/>
        <v>27000</v>
      </c>
      <c r="N8" s="406">
        <f t="shared" si="1"/>
        <v>27000</v>
      </c>
      <c r="O8" s="406">
        <f t="shared" si="1"/>
        <v>27000</v>
      </c>
      <c r="P8" s="406">
        <f t="shared" si="1"/>
        <v>27000</v>
      </c>
      <c r="Q8" s="406">
        <f t="shared" si="1"/>
        <v>27000</v>
      </c>
      <c r="R8" s="406">
        <f t="shared" si="1"/>
        <v>27000</v>
      </c>
      <c r="S8" s="406">
        <f t="shared" si="1"/>
        <v>27000</v>
      </c>
      <c r="T8" s="406">
        <f t="shared" si="1"/>
        <v>27000</v>
      </c>
      <c r="U8" s="406">
        <f t="shared" si="1"/>
        <v>27000</v>
      </c>
      <c r="V8" s="406">
        <f t="shared" si="1"/>
        <v>27000</v>
      </c>
      <c r="W8" s="406">
        <f t="shared" si="1"/>
        <v>27000</v>
      </c>
      <c r="X8" s="406">
        <f t="shared" si="1"/>
        <v>27000</v>
      </c>
      <c r="Y8" s="406">
        <f t="shared" si="1"/>
        <v>27000</v>
      </c>
      <c r="Z8" s="406">
        <f t="shared" si="1"/>
        <v>27000</v>
      </c>
      <c r="AA8" s="406">
        <f t="shared" si="1"/>
        <v>27000</v>
      </c>
      <c r="AB8" s="406">
        <f t="shared" si="1"/>
        <v>27000</v>
      </c>
      <c r="AC8" s="406">
        <f t="shared" si="1"/>
        <v>27000</v>
      </c>
      <c r="AD8" s="406">
        <f t="shared" si="1"/>
        <v>27000</v>
      </c>
      <c r="AE8" s="406">
        <f t="shared" si="1"/>
        <v>27000</v>
      </c>
      <c r="AF8" s="406">
        <f t="shared" si="1"/>
        <v>27000</v>
      </c>
      <c r="AG8" s="401">
        <f>SUM(C8:AF8)</f>
        <v>810000</v>
      </c>
    </row>
    <row r="9" spans="1:33" s="393" customFormat="1" ht="13.2"/>
    <row r="10" spans="1:33" s="393" customFormat="1" ht="13.2">
      <c r="B10" s="393" t="s">
        <v>516</v>
      </c>
      <c r="C10" s="420">
        <v>1</v>
      </c>
    </row>
    <row r="11" spans="1:33" s="393" customFormat="1" ht="13.2">
      <c r="B11" s="407"/>
      <c r="C11" s="408"/>
      <c r="E11" s="395"/>
    </row>
    <row r="12" spans="1:33" s="393" customFormat="1" ht="13.2">
      <c r="B12" s="407"/>
      <c r="C12" s="408"/>
    </row>
    <row r="13" spans="1:33" s="393" customFormat="1" ht="13.2">
      <c r="B13" s="409"/>
      <c r="C13" s="395"/>
    </row>
    <row r="14" spans="1:33">
      <c r="B14" s="410" t="s">
        <v>504</v>
      </c>
      <c r="C14" s="411" t="s">
        <v>505</v>
      </c>
    </row>
    <row r="15" spans="1:33">
      <c r="B15" s="410" t="s">
        <v>513</v>
      </c>
      <c r="C15" s="422" t="s">
        <v>514</v>
      </c>
    </row>
    <row r="16" spans="1:33">
      <c r="B16" s="410"/>
      <c r="C16" s="412"/>
    </row>
    <row r="17" spans="2:7">
      <c r="B17" s="392" t="s">
        <v>515</v>
      </c>
      <c r="C17" s="413">
        <v>18</v>
      </c>
      <c r="G17" s="413"/>
    </row>
    <row r="18" spans="2:7">
      <c r="B18" s="410"/>
      <c r="C18" s="413"/>
      <c r="G18" s="413"/>
    </row>
    <row r="19" spans="2:7">
      <c r="B19" s="410"/>
      <c r="C19" s="413"/>
      <c r="G19" s="413"/>
    </row>
    <row r="20" spans="2:7">
      <c r="B20" s="410"/>
      <c r="C20" s="413"/>
    </row>
    <row r="21" spans="2:7">
      <c r="B21" s="410"/>
      <c r="C21" s="413"/>
    </row>
    <row r="22" spans="2:7">
      <c r="B22" s="410"/>
      <c r="C22" s="413"/>
    </row>
    <row r="23" spans="2:7">
      <c r="B23" s="410"/>
      <c r="C23" s="413"/>
    </row>
    <row r="24" spans="2:7">
      <c r="B24" s="410"/>
      <c r="C24" s="413"/>
    </row>
    <row r="25" spans="2:7">
      <c r="B25" s="410"/>
      <c r="C25" s="412"/>
    </row>
    <row r="26" spans="2:7">
      <c r="B26" s="414"/>
      <c r="C26" s="412"/>
    </row>
    <row r="27" spans="2:7">
      <c r="B27" s="436" t="s">
        <v>508</v>
      </c>
      <c r="C27" s="437"/>
      <c r="D27" s="430" t="s">
        <v>57</v>
      </c>
    </row>
    <row r="28" spans="2:7">
      <c r="B28" s="438"/>
      <c r="C28" s="439"/>
      <c r="D28" s="431"/>
    </row>
    <row r="29" spans="2:7">
      <c r="B29" s="440" t="s">
        <v>331</v>
      </c>
      <c r="C29" s="441"/>
      <c r="D29" s="415">
        <v>0.96988998262883608</v>
      </c>
    </row>
    <row r="30" spans="2:7">
      <c r="B30" s="440" t="s">
        <v>324</v>
      </c>
      <c r="C30" s="441"/>
      <c r="D30" s="415">
        <v>2.7146701181920366E-2</v>
      </c>
    </row>
    <row r="31" spans="2:7">
      <c r="B31" s="440" t="s">
        <v>332</v>
      </c>
      <c r="C31" s="441"/>
      <c r="D31" s="415">
        <v>2.9633161892435029E-3</v>
      </c>
    </row>
    <row r="32" spans="2:7">
      <c r="B32" s="428" t="s">
        <v>87</v>
      </c>
      <c r="C32" s="429"/>
      <c r="D32" s="415">
        <f>SUM(D29:D31)</f>
        <v>1</v>
      </c>
    </row>
    <row r="33" spans="2:32">
      <c r="C33" s="416"/>
      <c r="D33" s="417"/>
    </row>
    <row r="34" spans="2:32">
      <c r="C34" s="416"/>
      <c r="D34" s="417"/>
    </row>
    <row r="35" spans="2:32">
      <c r="C35" s="416"/>
      <c r="D35" s="417"/>
    </row>
    <row r="36" spans="2:32">
      <c r="C36" s="418"/>
      <c r="D36" s="417"/>
    </row>
    <row r="37" spans="2:32">
      <c r="C37" s="419"/>
      <c r="D37" s="419"/>
      <c r="E37" s="419"/>
      <c r="F37" s="419"/>
      <c r="G37" s="419"/>
      <c r="H37" s="419"/>
      <c r="I37" s="419"/>
      <c r="J37" s="419"/>
      <c r="K37" s="419"/>
      <c r="L37" s="419"/>
      <c r="M37" s="419"/>
      <c r="N37" s="419"/>
      <c r="O37" s="419"/>
      <c r="P37" s="419"/>
      <c r="Q37" s="419"/>
      <c r="R37" s="419"/>
      <c r="S37" s="419"/>
      <c r="T37" s="419"/>
      <c r="U37" s="419"/>
      <c r="V37" s="419"/>
      <c r="W37" s="419"/>
      <c r="X37" s="419"/>
      <c r="Y37" s="419"/>
      <c r="Z37" s="419"/>
      <c r="AA37" s="419"/>
      <c r="AB37" s="419"/>
      <c r="AC37" s="419"/>
      <c r="AD37" s="419"/>
      <c r="AE37" s="419"/>
      <c r="AF37" s="419"/>
    </row>
    <row r="38" spans="2:32">
      <c r="B38" s="414"/>
      <c r="C38" s="416"/>
      <c r="D38" s="417"/>
    </row>
    <row r="39" spans="2:32">
      <c r="C39" s="416"/>
      <c r="D39" s="417"/>
    </row>
    <row r="40" spans="2:32">
      <c r="C40" s="416"/>
      <c r="D40" s="417"/>
    </row>
    <row r="41" spans="2:32">
      <c r="C41" s="416"/>
      <c r="D41" s="417"/>
    </row>
    <row r="42" spans="2:32">
      <c r="C42" s="416"/>
      <c r="D42" s="417"/>
    </row>
    <row r="43" spans="2:32">
      <c r="C43" s="416"/>
      <c r="D43" s="417"/>
    </row>
    <row r="44" spans="2:32">
      <c r="C44" s="416"/>
      <c r="D44" s="417"/>
    </row>
  </sheetData>
  <mergeCells count="8">
    <mergeCell ref="B32:C32"/>
    <mergeCell ref="D27:D28"/>
    <mergeCell ref="B3:B4"/>
    <mergeCell ref="AG3:AG4"/>
    <mergeCell ref="B27:C28"/>
    <mergeCell ref="B29:C29"/>
    <mergeCell ref="B30:C30"/>
    <mergeCell ref="B31:C31"/>
  </mergeCells>
  <phoneticPr fontId="5" type="noConversion"/>
  <hyperlinks>
    <hyperlink ref="C14" r:id="rId1" display="http://www.dephut.go.id/informasi/statistik/Stat2002/Baplan/Iv3502.pdf"/>
    <hyperlink ref="C15" r:id="rId2"/>
  </hyperlinks>
  <pageMargins left="0.75" right="0.75" top="1" bottom="1" header="0.5" footer="0.5"/>
  <pageSetup paperSize="9" orientation="portrait" r:id="rId3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dimension ref="A1:I255"/>
  <sheetViews>
    <sheetView topLeftCell="A2" workbookViewId="0">
      <selection activeCell="E27" sqref="E27"/>
    </sheetView>
  </sheetViews>
  <sheetFormatPr defaultColWidth="9.109375" defaultRowHeight="14.4"/>
  <cols>
    <col min="1" max="1" width="31.44140625" style="33" customWidth="1"/>
    <col min="2" max="2" width="19.6640625" style="33" customWidth="1"/>
    <col min="3" max="3" width="13.5546875" style="33" customWidth="1"/>
    <col min="4" max="4" width="17.5546875" style="37" bestFit="1" customWidth="1"/>
    <col min="5" max="5" width="18.6640625" style="37" customWidth="1"/>
    <col min="6" max="6" width="49" style="218" bestFit="1" customWidth="1"/>
    <col min="7" max="7" width="13.33203125" style="33" customWidth="1"/>
    <col min="8" max="8" width="16.44140625" style="33" customWidth="1"/>
    <col min="9" max="16384" width="9.109375" style="33"/>
  </cols>
  <sheetData>
    <row r="1" spans="1:8" ht="23.4">
      <c r="A1" s="71" t="s">
        <v>350</v>
      </c>
    </row>
    <row r="2" spans="1:8">
      <c r="A2" s="33" t="s">
        <v>309</v>
      </c>
      <c r="D2" s="33" t="s">
        <v>310</v>
      </c>
    </row>
    <row r="3" spans="1:8">
      <c r="A3" s="33" t="s">
        <v>311</v>
      </c>
      <c r="D3" s="33" t="s">
        <v>312</v>
      </c>
    </row>
    <row r="4" spans="1:8">
      <c r="A4" s="33" t="s">
        <v>0</v>
      </c>
      <c r="D4" s="43" t="s">
        <v>285</v>
      </c>
      <c r="E4" s="43" t="s">
        <v>313</v>
      </c>
    </row>
    <row r="5" spans="1:8">
      <c r="A5" s="34" t="s">
        <v>284</v>
      </c>
      <c r="F5" s="218" t="s">
        <v>336</v>
      </c>
      <c r="G5" s="33" t="s">
        <v>461</v>
      </c>
    </row>
    <row r="6" spans="1:8">
      <c r="A6" s="42" t="s">
        <v>317</v>
      </c>
      <c r="D6" s="46">
        <f>7200+600+12000</f>
        <v>19800</v>
      </c>
      <c r="E6" s="65">
        <f>G6*Produksi!$C$8</f>
        <v>12327.169711876319</v>
      </c>
      <c r="G6" s="306">
        <v>0.45656184118060439</v>
      </c>
      <c r="H6" s="303" t="s">
        <v>460</v>
      </c>
    </row>
    <row r="7" spans="1:8">
      <c r="A7" s="42" t="s">
        <v>283</v>
      </c>
      <c r="D7" s="47">
        <f>216+90+144</f>
        <v>450</v>
      </c>
      <c r="E7" s="66">
        <f>G7*Produksi!$C$8</f>
        <v>280.16294799718906</v>
      </c>
      <c r="G7" s="307">
        <v>1.0376405481377372E-2</v>
      </c>
      <c r="H7" s="304" t="s">
        <v>460</v>
      </c>
    </row>
    <row r="8" spans="1:8">
      <c r="A8" s="42" t="s">
        <v>282</v>
      </c>
      <c r="D8" s="47">
        <f>20+5+12</f>
        <v>37</v>
      </c>
      <c r="E8" s="66">
        <f>G8*Produksi!$C$8</f>
        <v>23.035620168657768</v>
      </c>
      <c r="G8" s="308">
        <v>8.5317111735769508E-4</v>
      </c>
      <c r="H8" s="305" t="s">
        <v>462</v>
      </c>
    </row>
    <row r="9" spans="1:8">
      <c r="D9" s="47"/>
      <c r="E9" s="57"/>
    </row>
    <row r="10" spans="1:8">
      <c r="A10" s="34" t="s">
        <v>318</v>
      </c>
      <c r="D10" s="49"/>
      <c r="E10" s="57"/>
    </row>
    <row r="11" spans="1:8">
      <c r="A11" s="42" t="s">
        <v>355</v>
      </c>
      <c r="C11" s="44"/>
      <c r="D11" s="48">
        <v>29600</v>
      </c>
      <c r="E11" s="57">
        <f>AVERAGE(Produksi!C7:U7)</f>
        <v>27000</v>
      </c>
      <c r="F11" s="45"/>
    </row>
    <row r="12" spans="1:8" ht="13.5" customHeight="1">
      <c r="A12" s="42" t="s">
        <v>319</v>
      </c>
      <c r="C12" s="44"/>
      <c r="D12" s="48">
        <f>40*D17</f>
        <v>55280</v>
      </c>
      <c r="E12" s="57"/>
    </row>
    <row r="13" spans="1:8">
      <c r="D13" s="47"/>
      <c r="E13" s="57"/>
    </row>
    <row r="14" spans="1:8">
      <c r="A14" s="34" t="s">
        <v>321</v>
      </c>
      <c r="D14" s="50"/>
      <c r="E14" s="58"/>
    </row>
    <row r="15" spans="1:8">
      <c r="A15" s="42" t="s">
        <v>280</v>
      </c>
      <c r="D15" s="47">
        <v>52790</v>
      </c>
      <c r="E15" s="57">
        <v>100000</v>
      </c>
      <c r="F15" s="218" t="s">
        <v>315</v>
      </c>
    </row>
    <row r="16" spans="1:8">
      <c r="A16" s="42" t="s">
        <v>279</v>
      </c>
      <c r="D16" s="47">
        <v>48370</v>
      </c>
      <c r="E16" s="103">
        <v>90736</v>
      </c>
      <c r="F16" s="219" t="s">
        <v>316</v>
      </c>
    </row>
    <row r="17" spans="1:6">
      <c r="A17" s="42" t="s">
        <v>320</v>
      </c>
      <c r="D17" s="47">
        <f>D16/35</f>
        <v>1382</v>
      </c>
      <c r="E17" s="59">
        <f>E16/35</f>
        <v>2592.457142857143</v>
      </c>
    </row>
    <row r="18" spans="1:6">
      <c r="D18" s="47"/>
      <c r="E18" s="57"/>
    </row>
    <row r="19" spans="1:6">
      <c r="A19" s="34" t="s">
        <v>278</v>
      </c>
      <c r="D19" s="47"/>
      <c r="E19" s="57"/>
    </row>
    <row r="20" spans="1:6">
      <c r="A20" s="42" t="s">
        <v>277</v>
      </c>
      <c r="C20" s="33" t="s">
        <v>0</v>
      </c>
      <c r="D20" s="47">
        <v>140</v>
      </c>
      <c r="E20" s="57">
        <v>9.5449999999999999</v>
      </c>
      <c r="F20" s="218" t="s">
        <v>325</v>
      </c>
    </row>
    <row r="21" spans="1:6">
      <c r="A21" s="42" t="s">
        <v>276</v>
      </c>
      <c r="C21" s="33" t="s">
        <v>0</v>
      </c>
      <c r="D21" s="47">
        <v>93</v>
      </c>
      <c r="E21" s="57">
        <v>19.229999999999997</v>
      </c>
    </row>
    <row r="22" spans="1:6">
      <c r="A22" s="42" t="s">
        <v>275</v>
      </c>
      <c r="D22" s="51">
        <v>20</v>
      </c>
      <c r="E22" s="57">
        <v>3</v>
      </c>
    </row>
    <row r="23" spans="1:6">
      <c r="D23" s="51">
        <f>(D20+D21)/22</f>
        <v>10.590909090909092</v>
      </c>
      <c r="E23" s="57"/>
    </row>
    <row r="24" spans="1:6">
      <c r="A24" s="34" t="s">
        <v>274</v>
      </c>
      <c r="D24" s="51"/>
      <c r="E24" s="57"/>
    </row>
    <row r="25" spans="1:6">
      <c r="A25" s="42" t="s">
        <v>273</v>
      </c>
      <c r="D25" s="51"/>
      <c r="E25" s="57" t="s">
        <v>326</v>
      </c>
    </row>
    <row r="26" spans="1:6">
      <c r="A26" s="42" t="s">
        <v>272</v>
      </c>
      <c r="D26" s="145" t="s">
        <v>411</v>
      </c>
      <c r="E26" s="57" t="s">
        <v>328</v>
      </c>
      <c r="F26" s="220" t="s">
        <v>327</v>
      </c>
    </row>
    <row r="27" spans="1:6">
      <c r="D27" s="47"/>
      <c r="E27" s="57"/>
    </row>
    <row r="28" spans="1:6">
      <c r="A28" s="34" t="s">
        <v>271</v>
      </c>
      <c r="D28" s="47"/>
      <c r="E28" s="57"/>
    </row>
    <row r="29" spans="1:6">
      <c r="A29" s="42" t="s">
        <v>207</v>
      </c>
      <c r="D29" s="47">
        <v>300</v>
      </c>
      <c r="E29" s="66">
        <v>246</v>
      </c>
      <c r="F29" s="218" t="s">
        <v>329</v>
      </c>
    </row>
    <row r="30" spans="1:6">
      <c r="A30" s="42" t="s">
        <v>270</v>
      </c>
      <c r="D30" s="47">
        <v>200</v>
      </c>
      <c r="E30" s="66">
        <v>200</v>
      </c>
    </row>
    <row r="31" spans="1:6">
      <c r="D31" s="47"/>
      <c r="E31" s="57"/>
    </row>
    <row r="32" spans="1:6">
      <c r="A32" s="34" t="s">
        <v>269</v>
      </c>
      <c r="D32" s="47" t="s">
        <v>268</v>
      </c>
      <c r="E32" s="57"/>
    </row>
    <row r="33" spans="1:7">
      <c r="A33" s="42" t="s">
        <v>357</v>
      </c>
      <c r="D33" s="47">
        <v>1000</v>
      </c>
      <c r="E33" s="61">
        <v>50000</v>
      </c>
      <c r="F33" s="218" t="s">
        <v>330</v>
      </c>
      <c r="G33" s="39"/>
    </row>
    <row r="34" spans="1:7">
      <c r="A34" s="102" t="s">
        <v>404</v>
      </c>
      <c r="D34" s="47"/>
      <c r="E34" s="61">
        <v>50000</v>
      </c>
      <c r="G34" s="39"/>
    </row>
    <row r="35" spans="1:7">
      <c r="A35" s="102" t="s">
        <v>405</v>
      </c>
      <c r="D35" s="47"/>
      <c r="E35" s="61">
        <v>30000</v>
      </c>
      <c r="G35" s="39"/>
    </row>
    <row r="36" spans="1:7">
      <c r="A36" s="42" t="s">
        <v>488</v>
      </c>
      <c r="D36" s="47"/>
      <c r="E36" s="60"/>
      <c r="G36" s="39"/>
    </row>
    <row r="37" spans="1:7">
      <c r="A37" s="102" t="s">
        <v>323</v>
      </c>
      <c r="D37" s="51">
        <v>23500</v>
      </c>
      <c r="E37" s="359">
        <v>0.1</v>
      </c>
      <c r="G37" s="39"/>
    </row>
    <row r="38" spans="1:7">
      <c r="A38" s="102" t="s">
        <v>361</v>
      </c>
      <c r="D38" s="51">
        <v>14000</v>
      </c>
      <c r="E38" s="359">
        <v>0.1</v>
      </c>
      <c r="G38" s="39"/>
    </row>
    <row r="39" spans="1:7">
      <c r="A39" s="102" t="s">
        <v>332</v>
      </c>
      <c r="D39" s="51">
        <v>14000</v>
      </c>
      <c r="E39" s="359">
        <v>0.1</v>
      </c>
      <c r="G39" s="39"/>
    </row>
    <row r="40" spans="1:7">
      <c r="A40" s="102" t="s">
        <v>214</v>
      </c>
      <c r="D40" s="51">
        <v>14000</v>
      </c>
      <c r="E40" s="60"/>
      <c r="G40" s="39"/>
    </row>
    <row r="41" spans="1:7">
      <c r="A41" s="42" t="s">
        <v>356</v>
      </c>
      <c r="D41" s="51">
        <v>20</v>
      </c>
      <c r="E41" s="61">
        <f>AVERAGE(E42:E44)*Summary!D7</f>
        <v>161946.33333333331</v>
      </c>
      <c r="G41" s="39"/>
    </row>
    <row r="42" spans="1:7">
      <c r="A42" s="102" t="s">
        <v>358</v>
      </c>
      <c r="D42" s="51"/>
      <c r="E42" s="60">
        <v>16</v>
      </c>
      <c r="G42" s="39"/>
    </row>
    <row r="43" spans="1:7">
      <c r="A43" s="102" t="s">
        <v>359</v>
      </c>
      <c r="D43" s="51"/>
      <c r="E43" s="60">
        <v>13</v>
      </c>
      <c r="G43" s="39"/>
    </row>
    <row r="44" spans="1:7">
      <c r="A44" s="102" t="s">
        <v>360</v>
      </c>
      <c r="D44" s="51"/>
      <c r="E44" s="60">
        <v>18</v>
      </c>
      <c r="G44" s="39"/>
    </row>
    <row r="45" spans="1:7">
      <c r="A45" s="42" t="s">
        <v>362</v>
      </c>
      <c r="D45" s="51">
        <v>2200</v>
      </c>
      <c r="E45" s="60">
        <v>4000</v>
      </c>
      <c r="G45" s="39"/>
    </row>
    <row r="46" spans="1:7">
      <c r="A46" s="222" t="s">
        <v>455</v>
      </c>
      <c r="D46" s="51">
        <v>250</v>
      </c>
      <c r="E46" s="60"/>
      <c r="G46" s="39"/>
    </row>
    <row r="47" spans="1:7">
      <c r="A47" s="222" t="s">
        <v>456</v>
      </c>
      <c r="D47" s="51">
        <v>400</v>
      </c>
      <c r="E47" s="60"/>
      <c r="G47" s="39"/>
    </row>
    <row r="48" spans="1:7">
      <c r="A48" s="42" t="s">
        <v>363</v>
      </c>
      <c r="D48" s="51">
        <v>5083925</v>
      </c>
      <c r="E48" s="61">
        <v>19600000</v>
      </c>
      <c r="G48" s="39"/>
    </row>
    <row r="49" spans="1:7">
      <c r="A49" s="222" t="s">
        <v>457</v>
      </c>
      <c r="D49" s="52">
        <v>10000</v>
      </c>
      <c r="E49" s="60"/>
      <c r="G49" s="39"/>
    </row>
    <row r="50" spans="1:7">
      <c r="D50" s="47"/>
      <c r="E50" s="57"/>
    </row>
    <row r="51" spans="1:7">
      <c r="A51" s="34" t="s">
        <v>267</v>
      </c>
      <c r="D51" s="47"/>
      <c r="E51" s="57"/>
    </row>
    <row r="52" spans="1:7">
      <c r="A52" s="33" t="s">
        <v>266</v>
      </c>
      <c r="B52" s="33" t="s">
        <v>0</v>
      </c>
      <c r="D52" s="47" t="s">
        <v>265</v>
      </c>
      <c r="E52" s="57"/>
    </row>
    <row r="53" spans="1:7">
      <c r="A53" s="33" t="s">
        <v>412</v>
      </c>
      <c r="D53" s="47">
        <v>712145905</v>
      </c>
      <c r="E53" s="57"/>
    </row>
    <row r="54" spans="1:7">
      <c r="A54" s="33" t="s">
        <v>413</v>
      </c>
      <c r="D54" s="47">
        <v>36940258</v>
      </c>
      <c r="E54" s="57"/>
    </row>
    <row r="55" spans="1:7">
      <c r="A55" s="33" t="s">
        <v>414</v>
      </c>
      <c r="D55" s="47">
        <f>(3046027865*20)/2</f>
        <v>30460278650</v>
      </c>
      <c r="E55" s="57" t="s">
        <v>264</v>
      </c>
    </row>
    <row r="56" spans="1:7">
      <c r="A56" s="33" t="s">
        <v>415</v>
      </c>
      <c r="D56" s="47">
        <f>349501200</f>
        <v>349501200</v>
      </c>
      <c r="E56" s="57" t="s">
        <v>263</v>
      </c>
    </row>
    <row r="57" spans="1:7">
      <c r="A57" s="33" t="s">
        <v>262</v>
      </c>
      <c r="D57" s="47"/>
      <c r="E57" s="57"/>
    </row>
    <row r="58" spans="1:7">
      <c r="A58" s="42" t="s">
        <v>416</v>
      </c>
      <c r="D58" s="55">
        <v>420</v>
      </c>
      <c r="E58" s="60"/>
      <c r="G58" s="39"/>
    </row>
    <row r="59" spans="1:7">
      <c r="A59" s="42" t="s">
        <v>417</v>
      </c>
      <c r="D59" s="55">
        <v>5100</v>
      </c>
      <c r="E59" s="60"/>
      <c r="G59" s="39"/>
    </row>
    <row r="60" spans="1:7">
      <c r="A60" s="42" t="s">
        <v>418</v>
      </c>
      <c r="D60" s="55">
        <v>4300</v>
      </c>
      <c r="E60" s="60"/>
      <c r="G60" s="39"/>
    </row>
    <row r="61" spans="1:7">
      <c r="A61" s="33" t="s">
        <v>261</v>
      </c>
      <c r="D61" s="47"/>
      <c r="E61" s="60"/>
      <c r="G61" s="37"/>
    </row>
    <row r="62" spans="1:7">
      <c r="A62" s="42" t="s">
        <v>419</v>
      </c>
      <c r="D62" s="47">
        <v>16500</v>
      </c>
      <c r="E62" s="61">
        <v>792357.02794720093</v>
      </c>
      <c r="G62" s="38"/>
    </row>
    <row r="63" spans="1:7">
      <c r="A63" s="42" t="s">
        <v>440</v>
      </c>
      <c r="D63" s="47">
        <v>26.4</v>
      </c>
      <c r="E63" s="61">
        <v>14122.005448333335</v>
      </c>
      <c r="G63" s="38"/>
    </row>
    <row r="64" spans="1:7">
      <c r="A64" s="42" t="s">
        <v>429</v>
      </c>
      <c r="D64" s="47">
        <f>1485+385</f>
        <v>1870</v>
      </c>
      <c r="E64" s="61">
        <v>8568.3895333333312</v>
      </c>
      <c r="G64" s="37"/>
    </row>
    <row r="65" spans="1:7">
      <c r="A65" s="42" t="s">
        <v>430</v>
      </c>
      <c r="D65" s="47">
        <v>1001</v>
      </c>
      <c r="E65" s="61">
        <v>14564.195936427108</v>
      </c>
      <c r="F65" s="218" t="s">
        <v>431</v>
      </c>
      <c r="G65" s="37"/>
    </row>
    <row r="66" spans="1:7">
      <c r="A66" s="42" t="s">
        <v>441</v>
      </c>
      <c r="D66" s="47">
        <v>165</v>
      </c>
      <c r="E66" s="61">
        <v>17859.558922402088</v>
      </c>
      <c r="F66" s="218" t="s">
        <v>431</v>
      </c>
      <c r="G66" s="38"/>
    </row>
    <row r="67" spans="1:7">
      <c r="A67" s="42" t="s">
        <v>420</v>
      </c>
      <c r="D67" s="47">
        <v>11000000</v>
      </c>
      <c r="E67" s="60"/>
      <c r="G67" s="37"/>
    </row>
    <row r="68" spans="1:7">
      <c r="A68" s="102" t="s">
        <v>406</v>
      </c>
      <c r="D68" s="47"/>
      <c r="E68" s="61">
        <v>150000000</v>
      </c>
      <c r="G68" s="37"/>
    </row>
    <row r="69" spans="1:7">
      <c r="A69" s="102" t="s">
        <v>407</v>
      </c>
      <c r="D69" s="47"/>
      <c r="E69" s="61">
        <v>125000000</v>
      </c>
      <c r="G69" s="37"/>
    </row>
    <row r="70" spans="1:7">
      <c r="A70" s="42" t="s">
        <v>421</v>
      </c>
      <c r="D70" s="47">
        <v>330000</v>
      </c>
      <c r="E70" s="60"/>
      <c r="G70" s="37"/>
    </row>
    <row r="71" spans="1:7">
      <c r="A71" s="42" t="s">
        <v>422</v>
      </c>
      <c r="D71" s="47">
        <v>230968.91794871798</v>
      </c>
      <c r="E71" s="60"/>
      <c r="G71" s="37"/>
    </row>
    <row r="72" spans="1:7">
      <c r="A72" s="42" t="s">
        <v>423</v>
      </c>
      <c r="D72" s="47">
        <v>3355</v>
      </c>
      <c r="E72" s="60"/>
      <c r="G72" s="37"/>
    </row>
    <row r="73" spans="1:7">
      <c r="A73" s="42" t="s">
        <v>427</v>
      </c>
      <c r="D73" s="47">
        <v>495000</v>
      </c>
      <c r="E73" s="60"/>
      <c r="G73" s="37"/>
    </row>
    <row r="74" spans="1:7">
      <c r="A74" s="42" t="s">
        <v>433</v>
      </c>
      <c r="D74" s="47">
        <v>495000</v>
      </c>
      <c r="E74" s="61">
        <f>Summary!D9</f>
        <v>75000</v>
      </c>
      <c r="F74" s="218" t="s">
        <v>432</v>
      </c>
      <c r="G74" s="37"/>
    </row>
    <row r="75" spans="1:7">
      <c r="A75" s="42" t="s">
        <v>260</v>
      </c>
      <c r="D75" s="47">
        <v>3740</v>
      </c>
      <c r="E75" s="60"/>
      <c r="G75" s="38"/>
    </row>
    <row r="76" spans="1:7">
      <c r="A76" s="42" t="s">
        <v>445</v>
      </c>
      <c r="D76" s="47"/>
      <c r="E76" s="60"/>
      <c r="G76" s="38"/>
    </row>
    <row r="77" spans="1:7">
      <c r="A77" s="42" t="s">
        <v>446</v>
      </c>
      <c r="D77" s="47"/>
      <c r="E77" s="60"/>
      <c r="G77" s="38"/>
    </row>
    <row r="78" spans="1:7">
      <c r="A78" s="42" t="s">
        <v>244</v>
      </c>
      <c r="D78" s="47">
        <v>3740</v>
      </c>
      <c r="E78" s="60"/>
      <c r="G78" s="38"/>
    </row>
    <row r="79" spans="1:7">
      <c r="A79" s="42"/>
      <c r="D79" s="47">
        <v>3740</v>
      </c>
      <c r="E79" s="60"/>
      <c r="G79" s="38"/>
    </row>
    <row r="80" spans="1:7">
      <c r="A80" s="42" t="s">
        <v>424</v>
      </c>
      <c r="D80" s="47">
        <v>330000</v>
      </c>
      <c r="E80" s="60"/>
      <c r="G80" s="37"/>
    </row>
    <row r="81" spans="1:7">
      <c r="A81" s="42" t="s">
        <v>425</v>
      </c>
      <c r="D81" s="47">
        <v>495000</v>
      </c>
      <c r="E81" s="60"/>
      <c r="G81" s="37"/>
    </row>
    <row r="82" spans="1:7">
      <c r="A82" s="42" t="s">
        <v>426</v>
      </c>
      <c r="D82" s="47">
        <v>3300000</v>
      </c>
      <c r="E82" s="60"/>
      <c r="G82" s="38"/>
    </row>
    <row r="83" spans="1:7">
      <c r="D83" s="47"/>
      <c r="E83" s="57"/>
    </row>
    <row r="84" spans="1:7">
      <c r="A84" s="33" t="s">
        <v>259</v>
      </c>
      <c r="D84" s="47"/>
      <c r="E84" s="57"/>
    </row>
    <row r="85" spans="1:7">
      <c r="A85" s="42" t="s">
        <v>258</v>
      </c>
      <c r="C85" s="33" t="s">
        <v>160</v>
      </c>
      <c r="D85" s="51">
        <v>2300</v>
      </c>
      <c r="E85" s="57"/>
    </row>
    <row r="86" spans="1:7">
      <c r="A86" s="42" t="s">
        <v>257</v>
      </c>
      <c r="C86" s="33" t="s">
        <v>160</v>
      </c>
      <c r="D86" s="51">
        <v>1400</v>
      </c>
      <c r="E86" s="57"/>
    </row>
    <row r="87" spans="1:7">
      <c r="A87" s="42" t="s">
        <v>256</v>
      </c>
      <c r="C87" s="33" t="s">
        <v>160</v>
      </c>
      <c r="D87" s="51">
        <v>700</v>
      </c>
      <c r="E87" s="57"/>
    </row>
    <row r="88" spans="1:7">
      <c r="D88" s="47"/>
      <c r="E88" s="57"/>
    </row>
    <row r="89" spans="1:7">
      <c r="A89" s="33" t="s">
        <v>214</v>
      </c>
      <c r="D89" s="47"/>
      <c r="E89" s="57"/>
    </row>
    <row r="90" spans="1:7">
      <c r="A90" s="42" t="s">
        <v>255</v>
      </c>
      <c r="C90" s="33" t="s">
        <v>253</v>
      </c>
      <c r="D90" s="53">
        <v>0.02</v>
      </c>
      <c r="E90" s="62">
        <f>SUM(D90:D91)</f>
        <v>0.03</v>
      </c>
    </row>
    <row r="91" spans="1:7">
      <c r="A91" s="42" t="s">
        <v>254</v>
      </c>
      <c r="C91" s="33" t="s">
        <v>253</v>
      </c>
      <c r="D91" s="53">
        <v>0.01</v>
      </c>
      <c r="E91" s="57"/>
    </row>
    <row r="92" spans="1:7">
      <c r="D92" s="47"/>
      <c r="E92" s="57"/>
    </row>
    <row r="93" spans="1:7">
      <c r="A93" s="33" t="s">
        <v>459</v>
      </c>
      <c r="D93" s="47"/>
      <c r="E93" s="57"/>
    </row>
    <row r="94" spans="1:7">
      <c r="D94" s="47"/>
      <c r="E94" s="57"/>
    </row>
    <row r="95" spans="1:7">
      <c r="D95" s="47"/>
      <c r="E95" s="57"/>
    </row>
    <row r="96" spans="1:7">
      <c r="D96" s="47"/>
      <c r="E96" s="57"/>
    </row>
    <row r="97" spans="1:5">
      <c r="D97" s="47"/>
      <c r="E97" s="57"/>
    </row>
    <row r="98" spans="1:5">
      <c r="D98" s="47"/>
      <c r="E98" s="57"/>
    </row>
    <row r="99" spans="1:5">
      <c r="A99" s="34" t="s">
        <v>16</v>
      </c>
      <c r="C99" s="33" t="s">
        <v>238</v>
      </c>
      <c r="D99" s="47" t="s">
        <v>252</v>
      </c>
      <c r="E99" s="57" t="s">
        <v>251</v>
      </c>
    </row>
    <row r="100" spans="1:5">
      <c r="A100" s="42" t="s">
        <v>250</v>
      </c>
      <c r="C100" s="33">
        <v>1000</v>
      </c>
      <c r="D100" s="47">
        <v>4000000</v>
      </c>
      <c r="E100" s="57">
        <f>D100/C100</f>
        <v>4000</v>
      </c>
    </row>
    <row r="101" spans="1:5">
      <c r="A101" s="42" t="s">
        <v>249</v>
      </c>
      <c r="C101" s="33">
        <v>1200</v>
      </c>
      <c r="D101" s="47">
        <v>20000000</v>
      </c>
      <c r="E101" s="57">
        <f>D101/C101</f>
        <v>16666.666666666668</v>
      </c>
    </row>
    <row r="102" spans="1:5">
      <c r="A102" s="42" t="s">
        <v>248</v>
      </c>
      <c r="D102" s="47"/>
      <c r="E102" s="57">
        <v>0</v>
      </c>
    </row>
    <row r="103" spans="1:5">
      <c r="A103" s="42" t="s">
        <v>247</v>
      </c>
      <c r="C103" s="33">
        <v>510</v>
      </c>
      <c r="D103" s="47">
        <v>8160000</v>
      </c>
      <c r="E103" s="57">
        <f>D103/C103</f>
        <v>16000</v>
      </c>
    </row>
    <row r="104" spans="1:5">
      <c r="A104" s="42" t="s">
        <v>246</v>
      </c>
      <c r="D104" s="47"/>
      <c r="E104" s="57">
        <v>0</v>
      </c>
    </row>
    <row r="105" spans="1:5">
      <c r="A105" s="42" t="s">
        <v>245</v>
      </c>
      <c r="C105" s="33">
        <v>271104</v>
      </c>
      <c r="D105" s="47">
        <v>40665600</v>
      </c>
      <c r="E105" s="57">
        <f>D105/(C105/500)</f>
        <v>75000</v>
      </c>
    </row>
    <row r="106" spans="1:5">
      <c r="A106" s="42" t="s">
        <v>244</v>
      </c>
      <c r="C106" s="33">
        <v>400</v>
      </c>
      <c r="D106" s="47">
        <v>16800000</v>
      </c>
      <c r="E106" s="57">
        <f>D106/C106</f>
        <v>42000</v>
      </c>
    </row>
    <row r="107" spans="1:5">
      <c r="A107" s="42" t="s">
        <v>243</v>
      </c>
      <c r="C107" s="33">
        <v>1625</v>
      </c>
      <c r="D107" s="47">
        <v>40500000</v>
      </c>
      <c r="E107" s="57">
        <f>D107/C107</f>
        <v>24923.076923076922</v>
      </c>
    </row>
    <row r="108" spans="1:5">
      <c r="A108" s="42" t="s">
        <v>242</v>
      </c>
      <c r="C108" s="33">
        <v>2125</v>
      </c>
      <c r="D108" s="47">
        <v>63750000</v>
      </c>
      <c r="E108" s="57">
        <f>D108/C108</f>
        <v>30000</v>
      </c>
    </row>
    <row r="109" spans="1:5">
      <c r="A109" s="42" t="s">
        <v>241</v>
      </c>
      <c r="D109" s="47">
        <v>48522650</v>
      </c>
      <c r="E109" s="57">
        <f>D17</f>
        <v>1382</v>
      </c>
    </row>
    <row r="110" spans="1:5">
      <c r="A110" s="42"/>
      <c r="D110" s="47"/>
      <c r="E110" s="57"/>
    </row>
    <row r="111" spans="1:5">
      <c r="A111" s="42" t="s">
        <v>240</v>
      </c>
      <c r="D111" s="47"/>
      <c r="E111" s="57">
        <f>SUM(E100:E109)</f>
        <v>209971.74358974362</v>
      </c>
    </row>
    <row r="112" spans="1:5">
      <c r="D112" s="47"/>
      <c r="E112" s="57"/>
    </row>
    <row r="113" spans="1:7">
      <c r="D113" s="47"/>
      <c r="E113" s="57"/>
    </row>
    <row r="114" spans="1:7">
      <c r="A114" s="33" t="s">
        <v>239</v>
      </c>
      <c r="D114" s="47"/>
      <c r="E114" s="57"/>
    </row>
    <row r="115" spans="1:7">
      <c r="A115" s="42" t="s">
        <v>236</v>
      </c>
      <c r="D115" s="47">
        <v>18</v>
      </c>
      <c r="E115" s="57"/>
    </row>
    <row r="116" spans="1:7">
      <c r="A116" s="42" t="s">
        <v>235</v>
      </c>
      <c r="D116" s="47">
        <v>190</v>
      </c>
      <c r="E116" s="57"/>
    </row>
    <row r="117" spans="1:7">
      <c r="A117" s="42"/>
      <c r="C117" s="33" t="s">
        <v>23</v>
      </c>
      <c r="D117" s="47">
        <v>6</v>
      </c>
      <c r="E117" s="57"/>
    </row>
    <row r="118" spans="1:7">
      <c r="A118" s="42"/>
      <c r="C118" s="33" t="s">
        <v>24</v>
      </c>
      <c r="D118" s="47">
        <f>SUM(E122:E140)</f>
        <v>136</v>
      </c>
      <c r="E118" s="63">
        <f>D118/D11</f>
        <v>4.5945945945945945E-3</v>
      </c>
    </row>
    <row r="119" spans="1:7">
      <c r="A119" s="42" t="s">
        <v>238</v>
      </c>
      <c r="D119" s="47">
        <v>208</v>
      </c>
      <c r="E119" s="57"/>
    </row>
    <row r="120" spans="1:7">
      <c r="D120" s="47"/>
      <c r="E120" s="57"/>
    </row>
    <row r="121" spans="1:7">
      <c r="A121" s="33" t="s">
        <v>237</v>
      </c>
      <c r="D121" s="54" t="s">
        <v>236</v>
      </c>
      <c r="E121" s="64" t="s">
        <v>235</v>
      </c>
    </row>
    <row r="122" spans="1:7">
      <c r="A122" s="42" t="s">
        <v>8</v>
      </c>
      <c r="D122" s="51">
        <v>6</v>
      </c>
      <c r="E122" s="64">
        <v>60</v>
      </c>
      <c r="G122" s="37">
        <v>66</v>
      </c>
    </row>
    <row r="123" spans="1:7">
      <c r="A123" s="42" t="s">
        <v>9</v>
      </c>
      <c r="D123" s="51">
        <v>6</v>
      </c>
      <c r="E123" s="64">
        <v>2</v>
      </c>
      <c r="G123" s="37"/>
    </row>
    <row r="124" spans="1:7">
      <c r="A124" s="42" t="s">
        <v>10</v>
      </c>
      <c r="D124" s="51">
        <v>4</v>
      </c>
      <c r="E124" s="64">
        <v>4</v>
      </c>
      <c r="G124" s="37"/>
    </row>
    <row r="125" spans="1:7">
      <c r="A125" s="42" t="s">
        <v>11</v>
      </c>
      <c r="D125" s="51">
        <v>8</v>
      </c>
      <c r="E125" s="64">
        <v>7</v>
      </c>
      <c r="G125" s="37"/>
    </row>
    <row r="126" spans="1:7">
      <c r="A126" s="42" t="s">
        <v>12</v>
      </c>
      <c r="D126" s="51">
        <v>1</v>
      </c>
      <c r="E126" s="64">
        <v>1</v>
      </c>
      <c r="G126" s="37"/>
    </row>
    <row r="127" spans="1:7">
      <c r="A127" s="42" t="s">
        <v>13</v>
      </c>
      <c r="D127" s="51">
        <v>4</v>
      </c>
      <c r="E127" s="64">
        <v>0</v>
      </c>
      <c r="G127" s="37"/>
    </row>
    <row r="128" spans="1:7">
      <c r="A128" s="42" t="s">
        <v>14</v>
      </c>
      <c r="D128" s="51">
        <v>5</v>
      </c>
      <c r="E128" s="64">
        <v>5</v>
      </c>
      <c r="G128" s="37"/>
    </row>
    <row r="129" spans="1:7">
      <c r="A129" s="42" t="s">
        <v>234</v>
      </c>
      <c r="D129" s="51">
        <v>8</v>
      </c>
      <c r="E129" s="64">
        <v>4</v>
      </c>
      <c r="G129" s="37"/>
    </row>
    <row r="130" spans="1:7">
      <c r="A130" s="42" t="s">
        <v>15</v>
      </c>
      <c r="D130" s="51">
        <v>6</v>
      </c>
      <c r="E130" s="64">
        <v>5</v>
      </c>
      <c r="G130" s="37"/>
    </row>
    <row r="131" spans="1:7">
      <c r="A131" s="42" t="s">
        <v>16</v>
      </c>
      <c r="D131" s="51">
        <v>10</v>
      </c>
      <c r="E131" s="64">
        <v>22</v>
      </c>
      <c r="G131" s="40"/>
    </row>
    <row r="132" spans="1:7">
      <c r="A132" s="42" t="s">
        <v>17</v>
      </c>
      <c r="D132" s="51">
        <v>9</v>
      </c>
      <c r="E132" s="64">
        <v>0</v>
      </c>
      <c r="G132" s="40"/>
    </row>
    <row r="133" spans="1:7">
      <c r="A133" s="42" t="s">
        <v>18</v>
      </c>
      <c r="D133" s="51">
        <v>0</v>
      </c>
      <c r="E133" s="64">
        <f>Labor!C97</f>
        <v>7</v>
      </c>
      <c r="G133" s="40"/>
    </row>
    <row r="134" spans="1:7">
      <c r="A134" s="42" t="s">
        <v>19</v>
      </c>
      <c r="D134" s="51">
        <v>5</v>
      </c>
      <c r="E134" s="64">
        <f>Labor!B49</f>
        <v>3</v>
      </c>
      <c r="G134" s="37"/>
    </row>
    <row r="135" spans="1:7">
      <c r="A135" s="42" t="s">
        <v>25</v>
      </c>
      <c r="D135" s="51">
        <v>0</v>
      </c>
      <c r="E135" s="64">
        <v>0</v>
      </c>
      <c r="G135" s="37"/>
    </row>
    <row r="136" spans="1:7">
      <c r="A136" s="42" t="s">
        <v>20</v>
      </c>
      <c r="D136" s="51">
        <v>12</v>
      </c>
      <c r="E136" s="64">
        <v>0</v>
      </c>
      <c r="G136" s="37"/>
    </row>
    <row r="137" spans="1:7">
      <c r="A137" s="42" t="s">
        <v>21</v>
      </c>
      <c r="D137" s="51">
        <v>0</v>
      </c>
      <c r="E137" s="64">
        <v>0</v>
      </c>
      <c r="G137" s="37"/>
    </row>
    <row r="138" spans="1:7">
      <c r="A138" s="146" t="s">
        <v>444</v>
      </c>
      <c r="D138" s="51">
        <v>2</v>
      </c>
      <c r="E138" s="64">
        <v>0</v>
      </c>
      <c r="F138" s="218">
        <v>2</v>
      </c>
      <c r="G138" s="37"/>
    </row>
    <row r="139" spans="1:7">
      <c r="A139" s="42" t="s">
        <v>22</v>
      </c>
      <c r="D139" s="51">
        <v>2</v>
      </c>
      <c r="E139" s="64">
        <v>0</v>
      </c>
      <c r="G139" s="37"/>
    </row>
    <row r="140" spans="1:7">
      <c r="A140" s="42" t="s">
        <v>233</v>
      </c>
      <c r="D140" s="47">
        <v>6</v>
      </c>
      <c r="E140" s="64">
        <v>16</v>
      </c>
      <c r="F140" s="218" t="s">
        <v>337</v>
      </c>
      <c r="G140" s="37"/>
    </row>
    <row r="141" spans="1:7">
      <c r="D141" s="47"/>
      <c r="E141" s="57"/>
    </row>
    <row r="142" spans="1:7">
      <c r="A142" s="33" t="s">
        <v>232</v>
      </c>
      <c r="D142" s="47"/>
      <c r="E142" s="57"/>
    </row>
    <row r="143" spans="1:7">
      <c r="B143" s="33" t="s">
        <v>26</v>
      </c>
      <c r="C143" s="33" t="s">
        <v>27</v>
      </c>
      <c r="D143" s="47" t="s">
        <v>28</v>
      </c>
      <c r="E143" s="57" t="s">
        <v>281</v>
      </c>
      <c r="F143" s="218" t="s">
        <v>333</v>
      </c>
    </row>
    <row r="144" spans="1:7">
      <c r="C144" s="33">
        <v>0</v>
      </c>
      <c r="D144" s="47">
        <v>0</v>
      </c>
      <c r="E144" s="57">
        <v>685</v>
      </c>
      <c r="F144" s="218">
        <v>15036</v>
      </c>
    </row>
    <row r="145" spans="3:6">
      <c r="C145" s="33">
        <v>3181</v>
      </c>
      <c r="D145" s="47">
        <v>79522</v>
      </c>
      <c r="E145" s="57">
        <v>2300</v>
      </c>
      <c r="F145" s="218">
        <v>87680</v>
      </c>
    </row>
    <row r="146" spans="3:6">
      <c r="C146" s="33">
        <v>4473</v>
      </c>
      <c r="D146" s="47">
        <v>119752</v>
      </c>
      <c r="E146" s="57">
        <v>441</v>
      </c>
      <c r="F146" s="218">
        <v>19303</v>
      </c>
    </row>
    <row r="147" spans="3:6">
      <c r="C147" s="33">
        <v>4500</v>
      </c>
      <c r="D147" s="47">
        <v>134853</v>
      </c>
      <c r="E147" s="60">
        <v>3000</v>
      </c>
      <c r="F147" s="218">
        <v>110277.23</v>
      </c>
    </row>
    <row r="148" spans="3:6">
      <c r="C148" s="33">
        <v>2600</v>
      </c>
      <c r="D148" s="47">
        <v>133384</v>
      </c>
      <c r="E148" s="60">
        <v>2700</v>
      </c>
      <c r="F148" s="218">
        <v>34793.660000000003</v>
      </c>
    </row>
    <row r="149" spans="3:6">
      <c r="C149" s="33">
        <v>1600</v>
      </c>
      <c r="D149" s="47">
        <v>88406</v>
      </c>
      <c r="E149" s="60">
        <v>2600</v>
      </c>
      <c r="F149" s="218">
        <v>33882.620000000003</v>
      </c>
    </row>
    <row r="150" spans="3:6">
      <c r="C150" s="33">
        <v>1450</v>
      </c>
      <c r="D150" s="47">
        <v>75000</v>
      </c>
      <c r="E150" s="60">
        <v>2500</v>
      </c>
      <c r="F150" s="218">
        <v>19145.89</v>
      </c>
    </row>
    <row r="151" spans="3:6">
      <c r="C151" s="33">
        <v>930</v>
      </c>
      <c r="D151" s="47">
        <v>47324</v>
      </c>
      <c r="E151" s="60">
        <v>2500</v>
      </c>
      <c r="F151" s="218">
        <v>14965.36</v>
      </c>
    </row>
    <row r="152" spans="3:6">
      <c r="C152" s="33">
        <v>1366</v>
      </c>
      <c r="D152" s="47">
        <v>63970</v>
      </c>
      <c r="E152" s="60">
        <v>1500</v>
      </c>
      <c r="F152" s="218">
        <v>15634.08</v>
      </c>
    </row>
    <row r="153" spans="3:6">
      <c r="C153" s="33">
        <v>499</v>
      </c>
      <c r="D153" s="47">
        <v>8456</v>
      </c>
      <c r="E153" s="60">
        <v>1289</v>
      </c>
      <c r="F153" s="218">
        <v>17099.759999999998</v>
      </c>
    </row>
    <row r="154" spans="3:6">
      <c r="C154" s="33">
        <v>300</v>
      </c>
      <c r="D154" s="47">
        <v>5963</v>
      </c>
      <c r="E154" s="60">
        <v>1728.4</v>
      </c>
      <c r="F154" s="218">
        <v>16590.09</v>
      </c>
    </row>
    <row r="155" spans="3:6">
      <c r="C155" s="33">
        <v>267</v>
      </c>
      <c r="D155" s="47">
        <v>6489</v>
      </c>
      <c r="E155" s="60">
        <v>1009.5</v>
      </c>
      <c r="F155" s="218">
        <v>14984.43</v>
      </c>
    </row>
    <row r="156" spans="3:6">
      <c r="C156" s="33">
        <v>665</v>
      </c>
      <c r="D156" s="47">
        <v>11232</v>
      </c>
      <c r="E156" s="60">
        <v>834.5</v>
      </c>
      <c r="F156" s="218">
        <v>14439.06</v>
      </c>
    </row>
    <row r="157" spans="3:6">
      <c r="C157" s="33">
        <v>521</v>
      </c>
      <c r="D157" s="47">
        <v>6984</v>
      </c>
      <c r="E157" s="60">
        <v>126</v>
      </c>
      <c r="F157" s="218">
        <v>2735.29</v>
      </c>
    </row>
    <row r="158" spans="3:6">
      <c r="C158" s="33">
        <v>989</v>
      </c>
      <c r="D158" s="47">
        <v>14776</v>
      </c>
      <c r="E158" s="60">
        <v>60</v>
      </c>
      <c r="F158" s="218">
        <v>913.01</v>
      </c>
    </row>
    <row r="159" spans="3:6">
      <c r="C159" s="33">
        <v>1130</v>
      </c>
      <c r="D159" s="47">
        <v>16142</v>
      </c>
      <c r="E159" s="60">
        <v>958.18</v>
      </c>
      <c r="F159" s="218">
        <v>19278.34</v>
      </c>
    </row>
    <row r="160" spans="3:6">
      <c r="C160" s="33">
        <v>1325</v>
      </c>
      <c r="D160" s="47">
        <v>29260</v>
      </c>
      <c r="E160" s="60">
        <v>1047.32</v>
      </c>
      <c r="F160" s="218">
        <v>12005.16</v>
      </c>
    </row>
    <row r="161" spans="1:6">
      <c r="C161" s="33">
        <v>875</v>
      </c>
      <c r="D161" s="47">
        <v>17831</v>
      </c>
      <c r="E161" s="60">
        <v>1744.2</v>
      </c>
      <c r="F161" s="218">
        <v>15961.3</v>
      </c>
    </row>
    <row r="162" spans="1:6">
      <c r="C162" s="33">
        <v>1200</v>
      </c>
      <c r="D162" s="47">
        <v>10824</v>
      </c>
      <c r="E162" s="60">
        <v>853.5</v>
      </c>
      <c r="F162" s="218">
        <v>14310.52</v>
      </c>
    </row>
    <row r="163" spans="1:6">
      <c r="C163" s="33">
        <v>400</v>
      </c>
      <c r="D163" s="47">
        <v>10952</v>
      </c>
      <c r="E163" s="60"/>
    </row>
    <row r="164" spans="1:6">
      <c r="C164" s="33">
        <v>1382</v>
      </c>
      <c r="D164" s="47">
        <v>29600</v>
      </c>
      <c r="E164" s="60"/>
    </row>
    <row r="165" spans="1:6">
      <c r="C165" s="33">
        <f>SUM(C144:C164)</f>
        <v>29653</v>
      </c>
      <c r="D165" s="47">
        <f>SUM(D144:D164)</f>
        <v>910720</v>
      </c>
      <c r="E165" s="60"/>
    </row>
    <row r="166" spans="1:6">
      <c r="D166" s="47"/>
      <c r="E166" s="57"/>
    </row>
    <row r="167" spans="1:6">
      <c r="D167" s="47"/>
      <c r="E167" s="57"/>
    </row>
    <row r="168" spans="1:6">
      <c r="A168" s="33" t="s">
        <v>231</v>
      </c>
      <c r="D168" s="47"/>
      <c r="E168" s="60"/>
    </row>
    <row r="169" spans="1:6">
      <c r="D169" s="47"/>
      <c r="E169" s="57"/>
    </row>
    <row r="170" spans="1:6">
      <c r="A170" s="33" t="s">
        <v>230</v>
      </c>
      <c r="D170" s="47"/>
      <c r="E170" s="60"/>
    </row>
    <row r="171" spans="1:6">
      <c r="B171" s="33" t="s">
        <v>229</v>
      </c>
      <c r="D171" s="47">
        <f>750000+350000+225000+900000+450000+200000</f>
        <v>2875000</v>
      </c>
      <c r="E171" s="60"/>
    </row>
    <row r="172" spans="1:6">
      <c r="B172" s="33" t="s">
        <v>228</v>
      </c>
      <c r="D172" s="47">
        <v>75397420</v>
      </c>
      <c r="E172" s="60"/>
    </row>
    <row r="173" spans="1:6">
      <c r="B173" s="33" t="s">
        <v>227</v>
      </c>
      <c r="D173" s="47">
        <v>32948931</v>
      </c>
      <c r="E173" s="60"/>
    </row>
    <row r="174" spans="1:6">
      <c r="B174" s="33" t="s">
        <v>226</v>
      </c>
      <c r="D174" s="47">
        <v>10454475</v>
      </c>
      <c r="E174" s="60"/>
    </row>
    <row r="175" spans="1:6">
      <c r="B175" s="33" t="s">
        <v>0</v>
      </c>
      <c r="D175" s="47"/>
      <c r="E175" s="60"/>
    </row>
    <row r="176" spans="1:6">
      <c r="A176" s="33" t="s">
        <v>225</v>
      </c>
      <c r="D176" s="47"/>
      <c r="E176" s="60"/>
    </row>
    <row r="177" spans="1:6">
      <c r="A177" s="42" t="s">
        <v>224</v>
      </c>
      <c r="D177" s="47">
        <f>(4050000+3610500+5616000)</f>
        <v>13276500</v>
      </c>
      <c r="E177" s="60"/>
    </row>
    <row r="178" spans="1:6">
      <c r="D178" s="47"/>
      <c r="E178" s="57"/>
    </row>
    <row r="179" spans="1:6">
      <c r="A179" s="33" t="s">
        <v>223</v>
      </c>
      <c r="D179" s="47"/>
      <c r="E179" s="60"/>
    </row>
    <row r="180" spans="1:6">
      <c r="A180" s="42" t="s">
        <v>222</v>
      </c>
      <c r="D180" s="47"/>
      <c r="E180" s="60"/>
    </row>
    <row r="181" spans="1:6">
      <c r="A181" s="42" t="s">
        <v>221</v>
      </c>
      <c r="D181" s="47">
        <f>8000000+36342965+21420043</f>
        <v>65763008</v>
      </c>
      <c r="E181" s="60"/>
    </row>
    <row r="182" spans="1:6">
      <c r="A182" s="42" t="s">
        <v>16</v>
      </c>
      <c r="D182" s="47">
        <f>4000000+20000000+8160000+40665600+16800000+40500000+63750000+48522650+54198000+2100000+48522650</f>
        <v>347218900</v>
      </c>
      <c r="E182" s="60"/>
    </row>
    <row r="183" spans="1:6">
      <c r="A183" s="42" t="s">
        <v>220</v>
      </c>
      <c r="D183" s="47"/>
      <c r="E183" s="60"/>
    </row>
    <row r="184" spans="1:6">
      <c r="A184" s="102" t="s">
        <v>219</v>
      </c>
      <c r="D184" s="47"/>
      <c r="E184" s="60"/>
    </row>
    <row r="185" spans="1:6">
      <c r="A185" s="102" t="s">
        <v>1</v>
      </c>
      <c r="D185" s="47"/>
      <c r="E185" s="60"/>
    </row>
    <row r="186" spans="1:6">
      <c r="A186" s="102" t="s">
        <v>218</v>
      </c>
      <c r="D186" s="47">
        <v>54217863</v>
      </c>
      <c r="E186" s="60"/>
    </row>
    <row r="187" spans="1:6">
      <c r="A187" s="102" t="s">
        <v>217</v>
      </c>
      <c r="D187" s="47">
        <v>482591679</v>
      </c>
      <c r="E187" s="60"/>
    </row>
    <row r="188" spans="1:6">
      <c r="A188" s="102" t="s">
        <v>0</v>
      </c>
      <c r="D188" s="47"/>
      <c r="E188" s="60"/>
    </row>
    <row r="189" spans="1:6">
      <c r="A189" s="102" t="s">
        <v>216</v>
      </c>
      <c r="D189" s="47">
        <v>662065503</v>
      </c>
      <c r="E189" s="60"/>
    </row>
    <row r="190" spans="1:6">
      <c r="A190" s="102" t="s">
        <v>2</v>
      </c>
      <c r="D190" s="47">
        <v>11780565</v>
      </c>
      <c r="E190" s="57"/>
      <c r="F190" s="218" t="s">
        <v>0</v>
      </c>
    </row>
    <row r="191" spans="1:6">
      <c r="A191" s="102" t="s">
        <v>215</v>
      </c>
      <c r="D191" s="47">
        <v>5083925</v>
      </c>
      <c r="E191" s="57"/>
    </row>
    <row r="192" spans="1:6">
      <c r="A192" s="102" t="s">
        <v>214</v>
      </c>
      <c r="D192" s="47">
        <v>1764521</v>
      </c>
      <c r="E192" s="57"/>
    </row>
    <row r="193" spans="1:6">
      <c r="D193" s="47"/>
      <c r="E193" s="57"/>
    </row>
    <row r="194" spans="1:6">
      <c r="A194" s="33" t="s">
        <v>19</v>
      </c>
      <c r="D194" s="47">
        <v>26110000</v>
      </c>
      <c r="E194" s="57"/>
    </row>
    <row r="195" spans="1:6">
      <c r="A195" s="42" t="s">
        <v>213</v>
      </c>
      <c r="D195" s="47"/>
      <c r="E195" s="57"/>
    </row>
    <row r="196" spans="1:6">
      <c r="A196" s="102" t="s">
        <v>212</v>
      </c>
      <c r="D196" s="47">
        <f>162971700</f>
        <v>162971700</v>
      </c>
      <c r="E196" s="57"/>
    </row>
    <row r="197" spans="1:6">
      <c r="A197" s="102" t="s">
        <v>211</v>
      </c>
      <c r="D197" s="47">
        <f>3975500+5095374+3050690+1100750+2175105+750150</f>
        <v>16147569</v>
      </c>
      <c r="E197" s="57"/>
    </row>
    <row r="198" spans="1:6">
      <c r="A198" s="102" t="s">
        <v>210</v>
      </c>
      <c r="D198" s="47">
        <f>25500350</f>
        <v>25500350</v>
      </c>
      <c r="E198" s="57"/>
    </row>
    <row r="199" spans="1:6">
      <c r="A199" s="102" t="s">
        <v>209</v>
      </c>
      <c r="D199" s="47">
        <f>335000</f>
        <v>335000</v>
      </c>
      <c r="E199" s="57"/>
    </row>
    <row r="200" spans="1:6">
      <c r="A200" s="102" t="s">
        <v>17</v>
      </c>
      <c r="D200" s="47">
        <f>4172600</f>
        <v>4172600</v>
      </c>
      <c r="E200" s="57"/>
    </row>
    <row r="201" spans="1:6">
      <c r="A201" s="102" t="s">
        <v>208</v>
      </c>
      <c r="D201" s="47">
        <f>82157500</f>
        <v>82157500</v>
      </c>
      <c r="E201" s="57"/>
    </row>
    <row r="202" spans="1:6">
      <c r="A202" s="33" t="s">
        <v>207</v>
      </c>
      <c r="D202" s="47"/>
      <c r="E202" s="57"/>
    </row>
    <row r="203" spans="1:6" s="42" customFormat="1">
      <c r="A203" s="42" t="s">
        <v>206</v>
      </c>
      <c r="D203" s="47">
        <f>1838100+299800+6264500+27946515+32390822+103242875</f>
        <v>171982612</v>
      </c>
      <c r="E203" s="144"/>
      <c r="F203" s="221"/>
    </row>
    <row r="204" spans="1:6">
      <c r="A204" s="33" t="s">
        <v>205</v>
      </c>
      <c r="D204" s="47"/>
      <c r="E204" s="60"/>
    </row>
    <row r="205" spans="1:6">
      <c r="A205" s="42" t="s">
        <v>204</v>
      </c>
      <c r="D205" s="47">
        <f>36091795</f>
        <v>36091795</v>
      </c>
      <c r="E205" s="60"/>
    </row>
    <row r="206" spans="1:6">
      <c r="D206" s="47"/>
      <c r="E206" s="57"/>
    </row>
    <row r="207" spans="1:6">
      <c r="A207" s="33" t="s">
        <v>203</v>
      </c>
      <c r="D207" s="47"/>
      <c r="E207" s="57"/>
    </row>
    <row r="208" spans="1:6">
      <c r="D208" s="47"/>
      <c r="E208" s="57"/>
    </row>
    <row r="209" spans="2:6">
      <c r="B209" s="33" t="s">
        <v>202</v>
      </c>
      <c r="C209" s="33" t="s">
        <v>201</v>
      </c>
      <c r="D209" s="47"/>
      <c r="E209" s="57"/>
    </row>
    <row r="210" spans="2:6">
      <c r="D210" s="47"/>
      <c r="E210" s="57"/>
    </row>
    <row r="211" spans="2:6">
      <c r="B211" s="33" t="s">
        <v>0</v>
      </c>
      <c r="D211" s="47" t="s">
        <v>200</v>
      </c>
      <c r="E211" s="57" t="s">
        <v>199</v>
      </c>
    </row>
    <row r="212" spans="2:6">
      <c r="B212" s="33" t="s">
        <v>198</v>
      </c>
      <c r="C212" s="33">
        <v>1</v>
      </c>
      <c r="D212" s="47" t="s">
        <v>0</v>
      </c>
      <c r="E212" s="57" t="s">
        <v>0</v>
      </c>
      <c r="F212" s="218" t="s">
        <v>0</v>
      </c>
    </row>
    <row r="213" spans="2:6">
      <c r="B213" s="33" t="s">
        <v>197</v>
      </c>
      <c r="C213" s="33">
        <v>2</v>
      </c>
      <c r="D213" s="47" t="s">
        <v>0</v>
      </c>
      <c r="E213" s="57" t="s">
        <v>0</v>
      </c>
      <c r="F213" s="218" t="s">
        <v>0</v>
      </c>
    </row>
    <row r="214" spans="2:6">
      <c r="B214" s="33" t="s">
        <v>196</v>
      </c>
      <c r="C214" s="33">
        <v>1</v>
      </c>
      <c r="D214" s="47" t="s">
        <v>0</v>
      </c>
      <c r="E214" s="57" t="s">
        <v>0</v>
      </c>
      <c r="F214" s="218" t="s">
        <v>0</v>
      </c>
    </row>
    <row r="215" spans="2:6">
      <c r="B215" s="33" t="s">
        <v>195</v>
      </c>
      <c r="D215" s="47" t="s">
        <v>0</v>
      </c>
      <c r="E215" s="57" t="s">
        <v>0</v>
      </c>
      <c r="F215" s="218" t="s">
        <v>0</v>
      </c>
    </row>
    <row r="216" spans="2:6">
      <c r="B216" s="33" t="s">
        <v>194</v>
      </c>
      <c r="C216" s="33">
        <v>1</v>
      </c>
      <c r="D216" s="47" t="s">
        <v>0</v>
      </c>
      <c r="E216" s="57" t="s">
        <v>0</v>
      </c>
      <c r="F216" s="218" t="s">
        <v>0</v>
      </c>
    </row>
    <row r="217" spans="2:6">
      <c r="B217" s="33" t="s">
        <v>193</v>
      </c>
      <c r="C217" s="33">
        <v>1</v>
      </c>
      <c r="D217" s="47" t="s">
        <v>0</v>
      </c>
      <c r="E217" s="57" t="s">
        <v>0</v>
      </c>
      <c r="F217" s="218" t="s">
        <v>0</v>
      </c>
    </row>
    <row r="218" spans="2:6">
      <c r="B218" s="33" t="s">
        <v>192</v>
      </c>
      <c r="C218" s="33">
        <v>5</v>
      </c>
      <c r="D218" s="47" t="s">
        <v>0</v>
      </c>
      <c r="E218" s="57" t="s">
        <v>0</v>
      </c>
      <c r="F218" s="218" t="s">
        <v>0</v>
      </c>
    </row>
    <row r="219" spans="2:6">
      <c r="B219" s="33" t="s">
        <v>191</v>
      </c>
      <c r="C219" s="33">
        <v>6</v>
      </c>
      <c r="D219" s="47" t="s">
        <v>0</v>
      </c>
      <c r="E219" s="57" t="s">
        <v>0</v>
      </c>
      <c r="F219" s="218" t="s">
        <v>0</v>
      </c>
    </row>
    <row r="220" spans="2:6">
      <c r="B220" s="33" t="s">
        <v>190</v>
      </c>
      <c r="C220" s="33">
        <v>2</v>
      </c>
      <c r="D220" s="47" t="s">
        <v>0</v>
      </c>
      <c r="E220" s="57" t="s">
        <v>0</v>
      </c>
      <c r="F220" s="218" t="s">
        <v>0</v>
      </c>
    </row>
    <row r="221" spans="2:6">
      <c r="B221" s="33" t="s">
        <v>189</v>
      </c>
      <c r="D221" s="47" t="s">
        <v>0</v>
      </c>
      <c r="E221" s="57" t="s">
        <v>0</v>
      </c>
      <c r="F221" s="218" t="s">
        <v>0</v>
      </c>
    </row>
    <row r="222" spans="2:6">
      <c r="B222" s="33" t="s">
        <v>9</v>
      </c>
      <c r="C222" s="33">
        <v>1</v>
      </c>
      <c r="D222" s="47" t="s">
        <v>0</v>
      </c>
      <c r="E222" s="57" t="s">
        <v>0</v>
      </c>
      <c r="F222" s="218" t="s">
        <v>0</v>
      </c>
    </row>
    <row r="223" spans="2:6">
      <c r="B223" s="33" t="s">
        <v>188</v>
      </c>
      <c r="C223" s="33">
        <v>7</v>
      </c>
      <c r="D223" s="47" t="s">
        <v>0</v>
      </c>
      <c r="E223" s="57" t="s">
        <v>0</v>
      </c>
      <c r="F223" s="218" t="s">
        <v>0</v>
      </c>
    </row>
    <row r="224" spans="2:6">
      <c r="B224" s="33" t="s">
        <v>187</v>
      </c>
      <c r="D224" s="47" t="s">
        <v>0</v>
      </c>
      <c r="E224" s="57" t="s">
        <v>0</v>
      </c>
      <c r="F224" s="218" t="s">
        <v>0</v>
      </c>
    </row>
    <row r="225" spans="1:6">
      <c r="B225" s="33" t="s">
        <v>186</v>
      </c>
      <c r="D225" s="47" t="s">
        <v>0</v>
      </c>
      <c r="E225" s="57" t="s">
        <v>0</v>
      </c>
      <c r="F225" s="218" t="s">
        <v>0</v>
      </c>
    </row>
    <row r="226" spans="1:6">
      <c r="B226" s="33" t="s">
        <v>185</v>
      </c>
      <c r="D226" s="47" t="s">
        <v>0</v>
      </c>
      <c r="E226" s="57" t="s">
        <v>0</v>
      </c>
      <c r="F226" s="218" t="s">
        <v>0</v>
      </c>
    </row>
    <row r="227" spans="1:6">
      <c r="D227" s="47"/>
      <c r="E227" s="57"/>
    </row>
    <row r="228" spans="1:6">
      <c r="D228" s="47"/>
      <c r="E228" s="57"/>
    </row>
    <row r="229" spans="1:6">
      <c r="B229" s="33" t="s">
        <v>184</v>
      </c>
      <c r="C229" s="33">
        <f>SUM(C212:C226)</f>
        <v>27</v>
      </c>
      <c r="D229" s="47"/>
      <c r="E229" s="57" t="s">
        <v>0</v>
      </c>
      <c r="F229" s="218" t="s">
        <v>0</v>
      </c>
    </row>
    <row r="230" spans="1:6">
      <c r="D230" s="47"/>
      <c r="E230" s="57"/>
    </row>
    <row r="231" spans="1:6">
      <c r="D231" s="47"/>
      <c r="E231" s="57"/>
    </row>
    <row r="232" spans="1:6">
      <c r="D232" s="47"/>
      <c r="E232" s="57"/>
    </row>
    <row r="233" spans="1:6">
      <c r="A233" s="33" t="s">
        <v>183</v>
      </c>
      <c r="D233" s="47"/>
      <c r="E233" s="60"/>
    </row>
    <row r="234" spans="1:6">
      <c r="D234" s="47"/>
      <c r="E234" s="57"/>
    </row>
    <row r="235" spans="1:6">
      <c r="A235" s="33" t="s">
        <v>17</v>
      </c>
      <c r="B235" s="33">
        <v>1</v>
      </c>
      <c r="D235" s="47"/>
      <c r="E235" s="60"/>
    </row>
    <row r="236" spans="1:6">
      <c r="A236" s="33" t="s">
        <v>182</v>
      </c>
      <c r="B236" s="33">
        <v>1</v>
      </c>
      <c r="D236" s="47"/>
      <c r="E236" s="60"/>
    </row>
    <row r="237" spans="1:6">
      <c r="A237" s="33" t="s">
        <v>181</v>
      </c>
      <c r="B237" s="33">
        <v>1</v>
      </c>
      <c r="D237" s="47"/>
      <c r="E237" s="60"/>
    </row>
    <row r="238" spans="1:6">
      <c r="A238" s="33" t="s">
        <v>180</v>
      </c>
      <c r="B238" s="33">
        <v>4</v>
      </c>
      <c r="D238" s="47"/>
      <c r="E238" s="60"/>
    </row>
    <row r="239" spans="1:6">
      <c r="A239" s="33" t="s">
        <v>179</v>
      </c>
      <c r="B239" s="33">
        <v>15</v>
      </c>
      <c r="D239" s="47"/>
      <c r="E239" s="60"/>
    </row>
    <row r="240" spans="1:6">
      <c r="D240" s="47"/>
      <c r="E240" s="57"/>
    </row>
    <row r="241" spans="1:9">
      <c r="D241" s="47"/>
      <c r="E241" s="57"/>
    </row>
    <row r="242" spans="1:9">
      <c r="A242" s="33" t="s">
        <v>178</v>
      </c>
      <c r="D242" s="47"/>
      <c r="E242" s="60"/>
    </row>
    <row r="243" spans="1:9">
      <c r="D243" s="47"/>
      <c r="E243" s="57"/>
    </row>
    <row r="244" spans="1:9">
      <c r="A244" s="33" t="s">
        <v>177</v>
      </c>
      <c r="C244" s="33">
        <v>800000000</v>
      </c>
      <c r="D244" s="47">
        <v>800000000</v>
      </c>
      <c r="E244" s="60"/>
    </row>
    <row r="245" spans="1:9">
      <c r="A245" s="33" t="s">
        <v>176</v>
      </c>
      <c r="D245" s="47"/>
      <c r="E245" s="60"/>
    </row>
    <row r="246" spans="1:9">
      <c r="B246" s="33" t="s">
        <v>175</v>
      </c>
      <c r="D246" s="47"/>
      <c r="E246" s="57"/>
    </row>
    <row r="247" spans="1:9">
      <c r="D247" s="47">
        <v>3046027865</v>
      </c>
      <c r="E247" s="57"/>
      <c r="H247" s="33">
        <f>3046027865/800000000</f>
        <v>3.8075348312499999</v>
      </c>
      <c r="I247" s="33" t="s">
        <v>174</v>
      </c>
    </row>
    <row r="248" spans="1:9">
      <c r="D248" s="47"/>
      <c r="E248" s="57"/>
    </row>
    <row r="249" spans="1:9">
      <c r="D249" s="47"/>
      <c r="E249" s="57"/>
    </row>
    <row r="250" spans="1:9">
      <c r="A250" s="33" t="s">
        <v>173</v>
      </c>
      <c r="D250" s="47"/>
      <c r="E250" s="57"/>
      <c r="H250" s="41">
        <v>0</v>
      </c>
      <c r="I250" s="33" t="s">
        <v>172</v>
      </c>
    </row>
    <row r="251" spans="1:9">
      <c r="D251" s="47"/>
      <c r="E251" s="57"/>
      <c r="H251" s="41" t="e">
        <f>800000000/H250</f>
        <v>#DIV/0!</v>
      </c>
      <c r="I251" s="33" t="s">
        <v>171</v>
      </c>
    </row>
    <row r="252" spans="1:9">
      <c r="A252" s="33" t="s">
        <v>170</v>
      </c>
      <c r="C252" s="33">
        <v>97</v>
      </c>
      <c r="D252" s="47"/>
      <c r="E252" s="57"/>
    </row>
    <row r="253" spans="1:9">
      <c r="A253" s="33" t="s">
        <v>169</v>
      </c>
      <c r="C253" s="33">
        <f>(105+87)/2</f>
        <v>96</v>
      </c>
      <c r="D253" s="47"/>
      <c r="E253" s="57"/>
    </row>
    <row r="254" spans="1:9">
      <c r="D254" s="47"/>
      <c r="E254" s="57"/>
    </row>
    <row r="255" spans="1:9">
      <c r="A255" s="33" t="s">
        <v>168</v>
      </c>
      <c r="C255" s="33">
        <f>(C252+C253)/2</f>
        <v>96.5</v>
      </c>
      <c r="D255" s="47"/>
      <c r="E255" s="57"/>
    </row>
  </sheetData>
  <pageMargins left="0.75" right="0.75" top="1" bottom="1" header="0.5" footer="0.5"/>
  <pageSetup scale="90" orientation="portrait" horizontalDpi="300" verticalDpi="300" r:id="rId1"/>
  <headerFooter alignWithMargins="0">
    <oddHeader>&amp;A</oddHeader>
    <oddFooter>Page &amp;P</oddFooter>
  </headerFooter>
  <ignoredErrors>
    <ignoredError sqref="E11" formulaRange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G48"/>
  <sheetViews>
    <sheetView topLeftCell="A22" zoomScaleNormal="100" workbookViewId="0">
      <selection activeCell="D44" sqref="D44"/>
    </sheetView>
  </sheetViews>
  <sheetFormatPr defaultColWidth="9.109375" defaultRowHeight="13.8"/>
  <cols>
    <col min="1" max="1" width="32.5546875" style="97" bestFit="1" customWidth="1"/>
    <col min="2" max="2" width="14.5546875" style="97" bestFit="1" customWidth="1"/>
    <col min="3" max="3" width="12.88671875" style="97" bestFit="1" customWidth="1"/>
    <col min="4" max="4" width="13.88671875" style="97" bestFit="1" customWidth="1"/>
    <col min="5" max="6" width="13.33203125" style="97" bestFit="1" customWidth="1"/>
    <col min="7" max="7" width="14.88671875" style="97" customWidth="1"/>
    <col min="8" max="16384" width="9.109375" style="97"/>
  </cols>
  <sheetData>
    <row r="1" spans="1:7" ht="18">
      <c r="A1" s="310" t="s">
        <v>350</v>
      </c>
    </row>
    <row r="3" spans="1:7" ht="16.2" thickBot="1">
      <c r="A3" s="311" t="s">
        <v>354</v>
      </c>
      <c r="B3" s="312">
        <f>IOTable!AC66</f>
        <v>1500</v>
      </c>
      <c r="C3" s="311" t="s">
        <v>42</v>
      </c>
    </row>
    <row r="4" spans="1:7">
      <c r="A4" s="447"/>
      <c r="B4" s="445" t="s">
        <v>140</v>
      </c>
      <c r="C4" s="313" t="s">
        <v>103</v>
      </c>
      <c r="D4" s="313" t="s">
        <v>103</v>
      </c>
      <c r="E4" s="442" t="s">
        <v>38</v>
      </c>
      <c r="F4" s="442"/>
      <c r="G4" s="443" t="s">
        <v>141</v>
      </c>
    </row>
    <row r="5" spans="1:7" ht="14.4" thickBot="1">
      <c r="A5" s="448"/>
      <c r="B5" s="446"/>
      <c r="C5" s="314" t="s">
        <v>142</v>
      </c>
      <c r="D5" s="314" t="s">
        <v>45</v>
      </c>
      <c r="E5" s="315" t="s">
        <v>39</v>
      </c>
      <c r="F5" s="315" t="s">
        <v>45</v>
      </c>
      <c r="G5" s="444"/>
    </row>
    <row r="6" spans="1:7">
      <c r="A6" s="316" t="s">
        <v>59</v>
      </c>
      <c r="B6" s="317">
        <f>CF!AG7</f>
        <v>529951499087.78571</v>
      </c>
      <c r="C6" s="317">
        <f>CF!AG9</f>
        <v>10146998471.582155</v>
      </c>
      <c r="D6" s="317">
        <f>CF!AG10</f>
        <v>50416100139.859528</v>
      </c>
      <c r="E6" s="317">
        <f>CF!AG12</f>
        <v>271686885056.75192</v>
      </c>
      <c r="F6" s="317">
        <f>CF!AG13</f>
        <v>177413164147.45654</v>
      </c>
      <c r="G6" s="318">
        <f>B6-C6-D6-E6-F6</f>
        <v>20288351272.135529</v>
      </c>
    </row>
    <row r="7" spans="1:7">
      <c r="A7" s="156" t="s">
        <v>60</v>
      </c>
      <c r="B7" s="319">
        <f>CF!AG21</f>
        <v>1185333046414.6912</v>
      </c>
      <c r="C7" s="319">
        <f>CF!AG23</f>
        <v>18559939210.847935</v>
      </c>
      <c r="D7" s="319">
        <f>CF!AG24</f>
        <v>289769437112.99579</v>
      </c>
      <c r="E7" s="319">
        <f>CF!AG26</f>
        <v>488545940455.34888</v>
      </c>
      <c r="F7" s="319">
        <f>CF!AG27</f>
        <v>89952112578.288269</v>
      </c>
      <c r="G7" s="320">
        <f>B7-C7-D7-E7-F7</f>
        <v>298505617057.21027</v>
      </c>
    </row>
    <row r="8" spans="1:7">
      <c r="A8" s="156" t="s">
        <v>104</v>
      </c>
      <c r="B8" s="319">
        <f t="shared" ref="B8:G8" si="0">B6-B7</f>
        <v>-655381547326.90552</v>
      </c>
      <c r="C8" s="319">
        <f t="shared" si="0"/>
        <v>-8412940739.2657795</v>
      </c>
      <c r="D8" s="319">
        <f t="shared" si="0"/>
        <v>-239353336973.13626</v>
      </c>
      <c r="E8" s="319">
        <f t="shared" si="0"/>
        <v>-216859055398.59695</v>
      </c>
      <c r="F8" s="319">
        <f t="shared" si="0"/>
        <v>87461051569.168274</v>
      </c>
      <c r="G8" s="319">
        <f t="shared" si="0"/>
        <v>-278217265785.07471</v>
      </c>
    </row>
    <row r="9" spans="1:7" ht="14.4" thickBot="1">
      <c r="A9" s="321"/>
      <c r="B9" s="322"/>
      <c r="C9" s="322"/>
      <c r="D9" s="322"/>
      <c r="E9" s="322"/>
      <c r="F9" s="322"/>
      <c r="G9" s="323"/>
    </row>
    <row r="13" spans="1:7" ht="16.2" thickBot="1">
      <c r="A13" s="311" t="s">
        <v>139</v>
      </c>
      <c r="B13" s="312"/>
      <c r="C13" s="311"/>
    </row>
    <row r="14" spans="1:7">
      <c r="A14" s="447"/>
      <c r="B14" s="445" t="s">
        <v>140</v>
      </c>
      <c r="C14" s="313" t="s">
        <v>103</v>
      </c>
      <c r="D14" s="313" t="s">
        <v>103</v>
      </c>
      <c r="E14" s="442" t="s">
        <v>38</v>
      </c>
      <c r="F14" s="442"/>
      <c r="G14" s="443" t="s">
        <v>141</v>
      </c>
    </row>
    <row r="15" spans="1:7" ht="14.4" thickBot="1">
      <c r="A15" s="448"/>
      <c r="B15" s="446"/>
      <c r="C15" s="314" t="s">
        <v>142</v>
      </c>
      <c r="D15" s="314" t="s">
        <v>45</v>
      </c>
      <c r="E15" s="315" t="s">
        <v>39</v>
      </c>
      <c r="F15" s="315" t="s">
        <v>45</v>
      </c>
      <c r="G15" s="444"/>
    </row>
    <row r="16" spans="1:7">
      <c r="A16" s="316" t="s">
        <v>59</v>
      </c>
      <c r="B16" s="317">
        <f>B6/$B$3</f>
        <v>353300999.39185715</v>
      </c>
      <c r="C16" s="317">
        <f t="shared" ref="C16:F17" si="1">C6/$B$3</f>
        <v>6764665.6477214368</v>
      </c>
      <c r="D16" s="317">
        <f t="shared" si="1"/>
        <v>33610733.426573016</v>
      </c>
      <c r="E16" s="317">
        <f t="shared" si="1"/>
        <v>181124590.03783461</v>
      </c>
      <c r="F16" s="317">
        <f t="shared" si="1"/>
        <v>118275442.76497103</v>
      </c>
      <c r="G16" s="318">
        <f>B16-C16-D16-E16-F16</f>
        <v>13525567.514757052</v>
      </c>
    </row>
    <row r="17" spans="1:7">
      <c r="A17" s="156" t="s">
        <v>60</v>
      </c>
      <c r="B17" s="324">
        <f>B7/$B$3</f>
        <v>790222030.94312739</v>
      </c>
      <c r="C17" s="324">
        <f t="shared" si="1"/>
        <v>12373292.807231957</v>
      </c>
      <c r="D17" s="324">
        <f t="shared" si="1"/>
        <v>193179624.74199718</v>
      </c>
      <c r="E17" s="324">
        <f t="shared" si="1"/>
        <v>325697293.63689923</v>
      </c>
      <c r="F17" s="324">
        <f t="shared" si="1"/>
        <v>59968075.052192181</v>
      </c>
      <c r="G17" s="320">
        <f>B17-C17-D17-E17-F17</f>
        <v>199003744.70480683</v>
      </c>
    </row>
    <row r="18" spans="1:7">
      <c r="A18" s="156" t="s">
        <v>104</v>
      </c>
      <c r="B18" s="319">
        <f t="shared" ref="B18:G18" si="2">B16-B17</f>
        <v>-436921031.55127025</v>
      </c>
      <c r="C18" s="319">
        <f t="shared" si="2"/>
        <v>-5608627.1595105203</v>
      </c>
      <c r="D18" s="319">
        <f t="shared" si="2"/>
        <v>-159568891.31542417</v>
      </c>
      <c r="E18" s="319">
        <f t="shared" si="2"/>
        <v>-144572703.59906462</v>
      </c>
      <c r="F18" s="319">
        <f t="shared" si="2"/>
        <v>58307367.712778851</v>
      </c>
      <c r="G18" s="319">
        <f t="shared" si="2"/>
        <v>-185478177.19004977</v>
      </c>
    </row>
    <row r="19" spans="1:7" ht="14.4" thickBot="1">
      <c r="A19" s="321"/>
      <c r="B19" s="322"/>
      <c r="C19" s="322"/>
      <c r="D19" s="322"/>
      <c r="E19" s="322"/>
      <c r="F19" s="322"/>
      <c r="G19" s="323"/>
    </row>
    <row r="21" spans="1:7">
      <c r="A21" s="325" t="s">
        <v>145</v>
      </c>
    </row>
    <row r="22" spans="1:7">
      <c r="A22" s="282" t="s">
        <v>59</v>
      </c>
      <c r="B22" s="326">
        <f>G16</f>
        <v>13525567.514757052</v>
      </c>
    </row>
    <row r="23" spans="1:7">
      <c r="A23" s="282" t="s">
        <v>60</v>
      </c>
      <c r="B23" s="326">
        <f>G17</f>
        <v>199003744.70480683</v>
      </c>
    </row>
    <row r="25" spans="1:7">
      <c r="A25" s="325" t="s">
        <v>146</v>
      </c>
    </row>
    <row r="26" spans="1:7">
      <c r="A26" s="282" t="s">
        <v>59</v>
      </c>
      <c r="B26" s="97">
        <v>2</v>
      </c>
    </row>
    <row r="27" spans="1:7">
      <c r="A27" s="282" t="s">
        <v>60</v>
      </c>
      <c r="B27" s="97">
        <v>2</v>
      </c>
    </row>
    <row r="29" spans="1:7">
      <c r="A29" s="325" t="s">
        <v>148</v>
      </c>
      <c r="D29" s="327" t="s">
        <v>478</v>
      </c>
      <c r="E29" s="327"/>
    </row>
    <row r="30" spans="1:7">
      <c r="A30" s="282" t="s">
        <v>59</v>
      </c>
      <c r="B30" s="326">
        <f>NPV(Summary!$D$5,CF!B15)</f>
        <v>1550199.1753147575</v>
      </c>
      <c r="D30" s="328">
        <f>CF!B38</f>
        <v>1.039807373476165</v>
      </c>
      <c r="E30" s="351"/>
    </row>
    <row r="31" spans="1:7">
      <c r="A31" s="282" t="s">
        <v>60</v>
      </c>
      <c r="B31" s="326">
        <f>NPV(Summary!$D$6,CF!B29)</f>
        <v>3336059.2701651286</v>
      </c>
      <c r="D31" s="328">
        <f>CF!B39</f>
        <v>1.3651703649695701</v>
      </c>
      <c r="E31" s="351"/>
    </row>
    <row r="33" spans="1:2">
      <c r="A33" s="325" t="s">
        <v>474</v>
      </c>
    </row>
    <row r="34" spans="1:2">
      <c r="A34" s="282" t="s">
        <v>475</v>
      </c>
      <c r="B34" s="242">
        <f>Labor!B30</f>
        <v>87.487719154861168</v>
      </c>
    </row>
    <row r="35" spans="1:2">
      <c r="A35" s="282" t="s">
        <v>476</v>
      </c>
      <c r="B35" s="242">
        <f>Labor!AG32</f>
        <v>14.810300123250249</v>
      </c>
    </row>
    <row r="36" spans="1:2">
      <c r="A36" s="282" t="s">
        <v>477</v>
      </c>
      <c r="B36" s="242">
        <f>Labor!AG28</f>
        <v>89.167719154861118</v>
      </c>
    </row>
    <row r="39" spans="1:2">
      <c r="A39" s="97" t="s">
        <v>64</v>
      </c>
    </row>
    <row r="42" spans="1:2">
      <c r="A42" s="97" t="s">
        <v>65</v>
      </c>
      <c r="B42" s="329">
        <f>PAM!E6/(PAM!B6-PAM!C6)</f>
        <v>0.52267128263545237</v>
      </c>
    </row>
    <row r="43" spans="1:2">
      <c r="A43" s="97" t="s">
        <v>66</v>
      </c>
      <c r="B43" s="329">
        <f>PAM!E7/(PAM!B7-PAM!C7)</f>
        <v>0.4187154618485705</v>
      </c>
    </row>
    <row r="44" spans="1:2">
      <c r="A44" s="97" t="s">
        <v>67</v>
      </c>
      <c r="B44" s="329">
        <f>PAM!B6/PAM!B7</f>
        <v>0.44709079924055461</v>
      </c>
    </row>
    <row r="45" spans="1:2">
      <c r="A45" s="97" t="s">
        <v>68</v>
      </c>
      <c r="B45" s="329">
        <f>PAM!C6/PAM!C7</f>
        <v>0.54671507036248401</v>
      </c>
    </row>
    <row r="46" spans="1:2">
      <c r="A46" s="97" t="s">
        <v>69</v>
      </c>
      <c r="B46" s="329">
        <f>(PAM!B6-PAM!C6)/(PAM!B7-PAM!C7)</f>
        <v>0.44550606918075814</v>
      </c>
    </row>
    <row r="47" spans="1:2">
      <c r="A47" s="97" t="s">
        <v>70</v>
      </c>
      <c r="B47" s="329">
        <f>PAM!F6/PAM!F7</f>
        <v>1.9723068092819727</v>
      </c>
    </row>
    <row r="48" spans="1:2">
      <c r="A48" s="97" t="s">
        <v>71</v>
      </c>
      <c r="B48" s="329">
        <f>PAM!F8/PAM!B7</f>
        <v>7.3786056867067087E-2</v>
      </c>
    </row>
  </sheetData>
  <mergeCells count="8">
    <mergeCell ref="E4:F4"/>
    <mergeCell ref="G4:G5"/>
    <mergeCell ref="B4:B5"/>
    <mergeCell ref="A4:A5"/>
    <mergeCell ref="A14:A15"/>
    <mergeCell ref="B14:B15"/>
    <mergeCell ref="E14:F14"/>
    <mergeCell ref="G14:G15"/>
  </mergeCells>
  <phoneticPr fontId="5" type="noConversion"/>
  <pageMargins left="0.75" right="0.75" top="1" bottom="1" header="0.5" footer="0.5"/>
  <pageSetup orientation="landscape" verticalDpi="300" r:id="rId1"/>
  <headerFooter alignWithMargins="0">
    <oddHeader>&amp;R&amp;"Arial,Italic"&amp;9&amp;F\&amp;A
&amp;T-&amp;D
real xrate : Rp 7700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>
  <dimension ref="A1:AH98"/>
  <sheetViews>
    <sheetView workbookViewId="0">
      <selection activeCell="E35" sqref="E35"/>
    </sheetView>
  </sheetViews>
  <sheetFormatPr defaultRowHeight="13.2"/>
  <cols>
    <col min="1" max="1" width="36.6640625" customWidth="1"/>
    <col min="2" max="2" width="11.33203125" customWidth="1"/>
    <col min="4" max="4" width="10.88671875" customWidth="1"/>
    <col min="6" max="6" width="10.44140625" customWidth="1"/>
  </cols>
  <sheetData>
    <row r="1" spans="1:34" ht="22.8">
      <c r="A1" s="101" t="s">
        <v>350</v>
      </c>
    </row>
    <row r="2" spans="1:34" ht="15">
      <c r="A2" s="5" t="s">
        <v>105</v>
      </c>
    </row>
    <row r="3" spans="1:34" ht="13.8" thickBot="1">
      <c r="A3" s="15"/>
    </row>
    <row r="4" spans="1:34" ht="13.8">
      <c r="A4" s="153" t="s">
        <v>40</v>
      </c>
      <c r="B4" s="6" t="s">
        <v>114</v>
      </c>
      <c r="C4" s="6" t="s">
        <v>115</v>
      </c>
      <c r="D4" s="6" t="s">
        <v>116</v>
      </c>
      <c r="E4" s="6" t="s">
        <v>117</v>
      </c>
      <c r="F4" s="6" t="s">
        <v>118</v>
      </c>
      <c r="G4" s="6" t="s">
        <v>119</v>
      </c>
      <c r="H4" s="6" t="s">
        <v>120</v>
      </c>
      <c r="I4" s="6" t="s">
        <v>121</v>
      </c>
      <c r="J4" s="6" t="s">
        <v>122</v>
      </c>
      <c r="K4" s="6" t="s">
        <v>123</v>
      </c>
      <c r="L4" s="6" t="s">
        <v>124</v>
      </c>
      <c r="M4" s="6" t="s">
        <v>125</v>
      </c>
      <c r="N4" s="6" t="s">
        <v>126</v>
      </c>
      <c r="O4" s="6" t="s">
        <v>127</v>
      </c>
      <c r="P4" s="6" t="s">
        <v>128</v>
      </c>
      <c r="Q4" s="6" t="s">
        <v>129</v>
      </c>
      <c r="R4" s="6" t="s">
        <v>130</v>
      </c>
      <c r="S4" s="6" t="s">
        <v>131</v>
      </c>
      <c r="T4" s="6" t="s">
        <v>132</v>
      </c>
      <c r="U4" s="6" t="s">
        <v>133</v>
      </c>
      <c r="V4" s="6" t="s">
        <v>134</v>
      </c>
      <c r="W4" s="6" t="s">
        <v>135</v>
      </c>
      <c r="X4" s="6" t="s">
        <v>136</v>
      </c>
      <c r="Y4" s="6" t="s">
        <v>137</v>
      </c>
      <c r="Z4" s="6" t="s">
        <v>138</v>
      </c>
      <c r="AA4" s="6" t="s">
        <v>491</v>
      </c>
      <c r="AB4" s="6" t="s">
        <v>492</v>
      </c>
      <c r="AC4" s="6" t="s">
        <v>493</v>
      </c>
      <c r="AD4" s="6" t="s">
        <v>494</v>
      </c>
      <c r="AE4" s="6" t="s">
        <v>495</v>
      </c>
      <c r="AF4" s="16" t="s">
        <v>101</v>
      </c>
      <c r="AG4" s="17" t="s">
        <v>97</v>
      </c>
    </row>
    <row r="5" spans="1:34" ht="13.8">
      <c r="A5" s="152" t="s">
        <v>8</v>
      </c>
      <c r="B5" s="2">
        <f>PB!D21/Summary!$D$9</f>
        <v>15847.140558944018</v>
      </c>
      <c r="C5" s="2">
        <f>PB!E21/Summary!$D$9</f>
        <v>15847.140558944018</v>
      </c>
      <c r="D5" s="2">
        <f>PB!F21/Summary!$D$9</f>
        <v>15847.140558944018</v>
      </c>
      <c r="E5" s="2">
        <f>PB!G21/Summary!$D$9</f>
        <v>15847.140558944018</v>
      </c>
      <c r="F5" s="2">
        <f>PB!H21/Summary!$D$9</f>
        <v>15847.140558944018</v>
      </c>
      <c r="G5" s="2">
        <f>PB!I21/Summary!$D$9</f>
        <v>15847.140558944018</v>
      </c>
      <c r="H5" s="2">
        <f>PB!J21/Summary!$D$9</f>
        <v>15847.140558944018</v>
      </c>
      <c r="I5" s="2">
        <f>PB!K21/Summary!$D$9</f>
        <v>15847.140558944018</v>
      </c>
      <c r="J5" s="2">
        <f>PB!L21/Summary!$D$9</f>
        <v>15847.140558944018</v>
      </c>
      <c r="K5" s="2">
        <f>PB!M21/Summary!$D$9</f>
        <v>15847.140558944018</v>
      </c>
      <c r="L5" s="2">
        <f>PB!N21/Summary!$D$9</f>
        <v>15847.140558944018</v>
      </c>
      <c r="M5" s="2">
        <f>PB!O21/Summary!$D$9</f>
        <v>15847.140558944018</v>
      </c>
      <c r="N5" s="2">
        <f>PB!P21/Summary!$D$9</f>
        <v>15847.140558944018</v>
      </c>
      <c r="O5" s="2">
        <f>PB!Q21/Summary!$D$9</f>
        <v>15847.140558944018</v>
      </c>
      <c r="P5" s="2">
        <f>PB!R21/Summary!$D$9</f>
        <v>15847.140558944018</v>
      </c>
      <c r="Q5" s="2">
        <f>PB!S21/Summary!$D$9</f>
        <v>15847.140558944018</v>
      </c>
      <c r="R5" s="2">
        <f>PB!T21/Summary!$D$9</f>
        <v>15847.140558944018</v>
      </c>
      <c r="S5" s="2">
        <f>PB!U21/Summary!$D$9</f>
        <v>15847.140558944018</v>
      </c>
      <c r="T5" s="2">
        <f>PB!V21/Summary!$D$9</f>
        <v>15847.140558944018</v>
      </c>
      <c r="U5" s="2">
        <f>PB!W21/Summary!$D$9</f>
        <v>15847.140558944018</v>
      </c>
      <c r="V5" s="2">
        <f>PB!X21/Summary!$D$9</f>
        <v>15847.140558944018</v>
      </c>
      <c r="W5" s="2">
        <f>PB!Y21/Summary!$D$9</f>
        <v>15847.140558944018</v>
      </c>
      <c r="X5" s="2">
        <f>PB!Z21/Summary!$D$9</f>
        <v>15847.140558944018</v>
      </c>
      <c r="Y5" s="2">
        <f>PB!AA21/Summary!$D$9</f>
        <v>15847.140558944018</v>
      </c>
      <c r="Z5" s="2">
        <f>PB!AB21/Summary!$D$9</f>
        <v>15847.140558944018</v>
      </c>
      <c r="AA5" s="2">
        <f>PB!AC21/Summary!$D$9</f>
        <v>15847.140558944018</v>
      </c>
      <c r="AB5" s="2">
        <f>PB!AD21/Summary!$D$9</f>
        <v>15847.140558944018</v>
      </c>
      <c r="AC5" s="2">
        <f>PB!AE21/Summary!$D$9</f>
        <v>15847.140558944018</v>
      </c>
      <c r="AD5" s="2">
        <f>PB!AF21/Summary!$D$9</f>
        <v>15847.140558944018</v>
      </c>
      <c r="AE5" s="2">
        <f>PB!AG21/Summary!$D$9</f>
        <v>15847.140558944018</v>
      </c>
      <c r="AF5" s="2">
        <f>SUM(B5:Z5)</f>
        <v>396178.51397360058</v>
      </c>
      <c r="AG5" s="7">
        <f>AVERAGE(B5:Z5)</f>
        <v>15847.140558944024</v>
      </c>
    </row>
    <row r="6" spans="1:34" ht="13.8">
      <c r="A6" s="152" t="s">
        <v>438</v>
      </c>
      <c r="B6" s="2">
        <f>PB!D22/Summary!$D$9</f>
        <v>5083.9219614000012</v>
      </c>
      <c r="C6" s="2">
        <f>PB!E22/Summary!$D$9</f>
        <v>5083.9219614000012</v>
      </c>
      <c r="D6" s="2">
        <f>PB!F22/Summary!$D$9</f>
        <v>5083.9219614000012</v>
      </c>
      <c r="E6" s="2">
        <f>PB!G22/Summary!$D$9</f>
        <v>5083.9219614000012</v>
      </c>
      <c r="F6" s="2">
        <f>PB!H22/Summary!$D$9</f>
        <v>5083.9219614000012</v>
      </c>
      <c r="G6" s="2">
        <f>PB!I22/Summary!$D$9</f>
        <v>5083.9219614000012</v>
      </c>
      <c r="H6" s="2">
        <f>PB!J22/Summary!$D$9</f>
        <v>5083.9219614000012</v>
      </c>
      <c r="I6" s="2">
        <f>PB!K22/Summary!$D$9</f>
        <v>5083.9219614000012</v>
      </c>
      <c r="J6" s="2">
        <f>PB!L22/Summary!$D$9</f>
        <v>5083.9219614000012</v>
      </c>
      <c r="K6" s="2">
        <f>PB!M22/Summary!$D$9</f>
        <v>5083.9219614000012</v>
      </c>
      <c r="L6" s="2">
        <f>PB!N22/Summary!$D$9</f>
        <v>5083.9219614000012</v>
      </c>
      <c r="M6" s="2">
        <f>PB!O22/Summary!$D$9</f>
        <v>5083.9219614000012</v>
      </c>
      <c r="N6" s="2">
        <f>PB!P22/Summary!$D$9</f>
        <v>5083.9219614000012</v>
      </c>
      <c r="O6" s="2">
        <f>PB!Q22/Summary!$D$9</f>
        <v>5083.9219614000012</v>
      </c>
      <c r="P6" s="2">
        <f>PB!R22/Summary!$D$9</f>
        <v>5083.9219614000012</v>
      </c>
      <c r="Q6" s="2">
        <f>PB!S22/Summary!$D$9</f>
        <v>5083.9219614000012</v>
      </c>
      <c r="R6" s="2">
        <f>PB!T22/Summary!$D$9</f>
        <v>5083.9219614000012</v>
      </c>
      <c r="S6" s="2">
        <f>PB!U22/Summary!$D$9</f>
        <v>5083.9219614000012</v>
      </c>
      <c r="T6" s="2">
        <f>PB!V22/Summary!$D$9</f>
        <v>5083.9219614000012</v>
      </c>
      <c r="U6" s="2">
        <f>PB!W22/Summary!$D$9</f>
        <v>5083.9219614000012</v>
      </c>
      <c r="V6" s="2">
        <f>PB!X22/Summary!$D$9</f>
        <v>5083.9219614000012</v>
      </c>
      <c r="W6" s="2">
        <f>PB!Y22/Summary!$D$9</f>
        <v>5083.9219614000012</v>
      </c>
      <c r="X6" s="2">
        <f>PB!Z22/Summary!$D$9</f>
        <v>5083.9219614000012</v>
      </c>
      <c r="Y6" s="2">
        <f>PB!AA22/Summary!$D$9</f>
        <v>5083.9219614000012</v>
      </c>
      <c r="Z6" s="2">
        <f>PB!AB22/Summary!$D$9</f>
        <v>5083.9219614000012</v>
      </c>
      <c r="AA6" s="2">
        <f>PB!AC22/Summary!$D$9</f>
        <v>5083.9219614000012</v>
      </c>
      <c r="AB6" s="2">
        <f>PB!AD22/Summary!$D$9</f>
        <v>5083.9219614000012</v>
      </c>
      <c r="AC6" s="2">
        <f>PB!AE22/Summary!$D$9</f>
        <v>5083.9219614000012</v>
      </c>
      <c r="AD6" s="2">
        <f>PB!AF22/Summary!$D$9</f>
        <v>5083.9219614000012</v>
      </c>
      <c r="AE6" s="2">
        <f>PB!AG22/Summary!$D$9</f>
        <v>5083.9219614000012</v>
      </c>
      <c r="AF6" s="2">
        <f t="shared" ref="AF6:AF25" si="0">SUM(B6:Z6)</f>
        <v>127098.04903500006</v>
      </c>
      <c r="AG6" s="7">
        <f t="shared" ref="AG6:AG25" si="1">AVERAGE(B6:Z6)</f>
        <v>5083.9219614000021</v>
      </c>
    </row>
    <row r="7" spans="1:34" ht="13.8">
      <c r="A7" s="152" t="s">
        <v>428</v>
      </c>
      <c r="B7" s="2">
        <f>PB!D23/Summary!$D$9</f>
        <v>3084.6202319999993</v>
      </c>
      <c r="C7" s="2">
        <f>PB!E23/Summary!$D$9</f>
        <v>3084.6202319999993</v>
      </c>
      <c r="D7" s="2">
        <f>PB!F23/Summary!$D$9</f>
        <v>3084.6202319999993</v>
      </c>
      <c r="E7" s="2">
        <f>PB!G23/Summary!$D$9</f>
        <v>3084.6202319999993</v>
      </c>
      <c r="F7" s="2">
        <f>PB!H23/Summary!$D$9</f>
        <v>3084.6202319999993</v>
      </c>
      <c r="G7" s="2">
        <f>PB!I23/Summary!$D$9</f>
        <v>3084.6202319999993</v>
      </c>
      <c r="H7" s="2">
        <f>PB!J23/Summary!$D$9</f>
        <v>3084.6202319999993</v>
      </c>
      <c r="I7" s="2">
        <f>PB!K23/Summary!$D$9</f>
        <v>3084.6202319999993</v>
      </c>
      <c r="J7" s="2">
        <f>PB!L23/Summary!$D$9</f>
        <v>3084.6202319999993</v>
      </c>
      <c r="K7" s="2">
        <f>PB!M23/Summary!$D$9</f>
        <v>3084.6202319999993</v>
      </c>
      <c r="L7" s="2">
        <f>PB!N23/Summary!$D$9</f>
        <v>3084.6202319999993</v>
      </c>
      <c r="M7" s="2">
        <f>PB!O23/Summary!$D$9</f>
        <v>3084.6202319999993</v>
      </c>
      <c r="N7" s="2">
        <f>PB!P23/Summary!$D$9</f>
        <v>3084.6202319999993</v>
      </c>
      <c r="O7" s="2">
        <f>PB!Q23/Summary!$D$9</f>
        <v>3084.6202319999993</v>
      </c>
      <c r="P7" s="2">
        <f>PB!R23/Summary!$D$9</f>
        <v>3084.6202319999993</v>
      </c>
      <c r="Q7" s="2">
        <f>PB!S23/Summary!$D$9</f>
        <v>3084.6202319999993</v>
      </c>
      <c r="R7" s="2">
        <f>PB!T23/Summary!$D$9</f>
        <v>3084.6202319999993</v>
      </c>
      <c r="S7" s="2">
        <f>PB!U23/Summary!$D$9</f>
        <v>3084.6202319999993</v>
      </c>
      <c r="T7" s="2">
        <f>PB!V23/Summary!$D$9</f>
        <v>3084.6202319999993</v>
      </c>
      <c r="U7" s="2">
        <f>PB!W23/Summary!$D$9</f>
        <v>3084.6202319999993</v>
      </c>
      <c r="V7" s="2">
        <f>PB!X23/Summary!$D$9</f>
        <v>3084.6202319999993</v>
      </c>
      <c r="W7" s="2">
        <f>PB!Y23/Summary!$D$9</f>
        <v>3084.6202319999993</v>
      </c>
      <c r="X7" s="2">
        <f>PB!Z23/Summary!$D$9</f>
        <v>3084.6202319999993</v>
      </c>
      <c r="Y7" s="2">
        <f>PB!AA23/Summary!$D$9</f>
        <v>3084.6202319999993</v>
      </c>
      <c r="Z7" s="2">
        <f>PB!AB23/Summary!$D$9</f>
        <v>3084.6202319999993</v>
      </c>
      <c r="AA7" s="2">
        <f>PB!AC23/Summary!$D$9</f>
        <v>3084.6202319999993</v>
      </c>
      <c r="AB7" s="2">
        <f>PB!AD23/Summary!$D$9</f>
        <v>3084.6202319999993</v>
      </c>
      <c r="AC7" s="2">
        <f>PB!AE23/Summary!$D$9</f>
        <v>3084.6202319999993</v>
      </c>
      <c r="AD7" s="2">
        <f>PB!AF23/Summary!$D$9</f>
        <v>3084.6202319999993</v>
      </c>
      <c r="AE7" s="2">
        <f>PB!AG23/Summary!$D$9</f>
        <v>3084.6202319999993</v>
      </c>
      <c r="AF7" s="2">
        <f t="shared" si="0"/>
        <v>77115.505800000014</v>
      </c>
      <c r="AG7" s="7">
        <f t="shared" si="1"/>
        <v>3084.6202320000007</v>
      </c>
    </row>
    <row r="8" spans="1:34" ht="13.8">
      <c r="A8" s="152" t="s">
        <v>12</v>
      </c>
      <c r="B8" s="2">
        <f>PB!D24/Summary!$D$9</f>
        <v>5243.1105371137592</v>
      </c>
      <c r="C8" s="2">
        <f>PB!E24/Summary!$D$9</f>
        <v>5243.1105371137592</v>
      </c>
      <c r="D8" s="2">
        <f>PB!F24/Summary!$D$9</f>
        <v>5243.1105371137592</v>
      </c>
      <c r="E8" s="2">
        <f>PB!G24/Summary!$D$9</f>
        <v>5243.1105371137592</v>
      </c>
      <c r="F8" s="2">
        <f>PB!H24/Summary!$D$9</f>
        <v>5243.1105371137592</v>
      </c>
      <c r="G8" s="2">
        <f>PB!I24/Summary!$D$9</f>
        <v>5243.1105371137592</v>
      </c>
      <c r="H8" s="2">
        <f>PB!J24/Summary!$D$9</f>
        <v>5243.1105371137592</v>
      </c>
      <c r="I8" s="2">
        <f>PB!K24/Summary!$D$9</f>
        <v>5243.1105371137592</v>
      </c>
      <c r="J8" s="2">
        <f>PB!L24/Summary!$D$9</f>
        <v>5243.1105371137592</v>
      </c>
      <c r="K8" s="2">
        <f>PB!M24/Summary!$D$9</f>
        <v>5243.1105371137592</v>
      </c>
      <c r="L8" s="2">
        <f>PB!N24/Summary!$D$9</f>
        <v>5243.1105371137592</v>
      </c>
      <c r="M8" s="2">
        <f>PB!O24/Summary!$D$9</f>
        <v>5243.1105371137592</v>
      </c>
      <c r="N8" s="2">
        <f>PB!P24/Summary!$D$9</f>
        <v>5243.1105371137592</v>
      </c>
      <c r="O8" s="2">
        <f>PB!Q24/Summary!$D$9</f>
        <v>5243.1105371137592</v>
      </c>
      <c r="P8" s="2">
        <f>PB!R24/Summary!$D$9</f>
        <v>5243.1105371137592</v>
      </c>
      <c r="Q8" s="2">
        <f>PB!S24/Summary!$D$9</f>
        <v>5243.1105371137592</v>
      </c>
      <c r="R8" s="2">
        <f>PB!T24/Summary!$D$9</f>
        <v>5243.1105371137592</v>
      </c>
      <c r="S8" s="2">
        <f>PB!U24/Summary!$D$9</f>
        <v>5243.1105371137592</v>
      </c>
      <c r="T8" s="2">
        <f>PB!V24/Summary!$D$9</f>
        <v>5243.1105371137592</v>
      </c>
      <c r="U8" s="2">
        <f>PB!W24/Summary!$D$9</f>
        <v>5243.1105371137592</v>
      </c>
      <c r="V8" s="2">
        <f>PB!X24/Summary!$D$9</f>
        <v>5243.1105371137592</v>
      </c>
      <c r="W8" s="2">
        <f>PB!Y24/Summary!$D$9</f>
        <v>5243.1105371137592</v>
      </c>
      <c r="X8" s="2">
        <f>PB!Z24/Summary!$D$9</f>
        <v>5243.1105371137592</v>
      </c>
      <c r="Y8" s="2">
        <f>PB!AA24/Summary!$D$9</f>
        <v>5243.1105371137592</v>
      </c>
      <c r="Z8" s="2">
        <f>PB!AB24/Summary!$D$9</f>
        <v>5243.1105371137592</v>
      </c>
      <c r="AA8" s="2">
        <f>PB!AC24/Summary!$D$9</f>
        <v>5243.1105371137592</v>
      </c>
      <c r="AB8" s="2">
        <f>PB!AD24/Summary!$D$9</f>
        <v>5243.1105371137592</v>
      </c>
      <c r="AC8" s="2">
        <f>PB!AE24/Summary!$D$9</f>
        <v>5243.1105371137592</v>
      </c>
      <c r="AD8" s="2">
        <f>PB!AF24/Summary!$D$9</f>
        <v>5243.1105371137592</v>
      </c>
      <c r="AE8" s="2">
        <f>PB!AG24/Summary!$D$9</f>
        <v>5243.1105371137592</v>
      </c>
      <c r="AF8" s="2">
        <f t="shared" si="0"/>
        <v>131077.76342784392</v>
      </c>
      <c r="AG8" s="7">
        <f t="shared" si="1"/>
        <v>5243.1105371137564</v>
      </c>
    </row>
    <row r="9" spans="1:34" ht="13.8">
      <c r="A9" s="152" t="s">
        <v>442</v>
      </c>
      <c r="B9" s="2">
        <f>PB!D25/Summary!$D$9</f>
        <v>6429.4412120647521</v>
      </c>
      <c r="C9" s="2">
        <f>PB!E25/Summary!$D$9</f>
        <v>6429.4412120647521</v>
      </c>
      <c r="D9" s="2">
        <f>PB!F25/Summary!$D$9</f>
        <v>6429.4412120647521</v>
      </c>
      <c r="E9" s="2">
        <f>PB!G25/Summary!$D$9</f>
        <v>6429.4412120647521</v>
      </c>
      <c r="F9" s="2">
        <f>PB!H25/Summary!$D$9</f>
        <v>6429.4412120647521</v>
      </c>
      <c r="G9" s="2">
        <f>PB!I25/Summary!$D$9</f>
        <v>6429.4412120647521</v>
      </c>
      <c r="H9" s="2">
        <f>PB!J25/Summary!$D$9</f>
        <v>6429.4412120647521</v>
      </c>
      <c r="I9" s="2">
        <f>PB!K25/Summary!$D$9</f>
        <v>6429.4412120647521</v>
      </c>
      <c r="J9" s="2">
        <f>PB!L25/Summary!$D$9</f>
        <v>6429.4412120647521</v>
      </c>
      <c r="K9" s="2">
        <f>PB!M25/Summary!$D$9</f>
        <v>6429.4412120647521</v>
      </c>
      <c r="L9" s="2">
        <f>PB!N25/Summary!$D$9</f>
        <v>6429.4412120647521</v>
      </c>
      <c r="M9" s="2">
        <f>PB!O25/Summary!$D$9</f>
        <v>6429.4412120647521</v>
      </c>
      <c r="N9" s="2">
        <f>PB!P25/Summary!$D$9</f>
        <v>6429.4412120647521</v>
      </c>
      <c r="O9" s="2">
        <f>PB!Q25/Summary!$D$9</f>
        <v>6429.4412120647521</v>
      </c>
      <c r="P9" s="2">
        <f>PB!R25/Summary!$D$9</f>
        <v>6429.4412120647521</v>
      </c>
      <c r="Q9" s="2">
        <f>PB!S25/Summary!$D$9</f>
        <v>6429.4412120647521</v>
      </c>
      <c r="R9" s="2">
        <f>PB!T25/Summary!$D$9</f>
        <v>6429.4412120647521</v>
      </c>
      <c r="S9" s="2">
        <f>PB!U25/Summary!$D$9</f>
        <v>6429.4412120647521</v>
      </c>
      <c r="T9" s="2">
        <f>PB!V25/Summary!$D$9</f>
        <v>6429.4412120647521</v>
      </c>
      <c r="U9" s="2">
        <f>PB!W25/Summary!$D$9</f>
        <v>6429.4412120647521</v>
      </c>
      <c r="V9" s="2">
        <f>PB!X25/Summary!$D$9</f>
        <v>6429.4412120647521</v>
      </c>
      <c r="W9" s="2">
        <f>PB!Y25/Summary!$D$9</f>
        <v>6429.4412120647521</v>
      </c>
      <c r="X9" s="2">
        <f>PB!Z25/Summary!$D$9</f>
        <v>6429.4412120647521</v>
      </c>
      <c r="Y9" s="2">
        <f>PB!AA25/Summary!$D$9</f>
        <v>6429.4412120647521</v>
      </c>
      <c r="Z9" s="2">
        <f>PB!AB25/Summary!$D$9</f>
        <v>6429.4412120647521</v>
      </c>
      <c r="AA9" s="2">
        <f>PB!AC25/Summary!$D$9</f>
        <v>6429.4412120647521</v>
      </c>
      <c r="AB9" s="2">
        <f>PB!AD25/Summary!$D$9</f>
        <v>6429.4412120647521</v>
      </c>
      <c r="AC9" s="2">
        <f>PB!AE25/Summary!$D$9</f>
        <v>6429.4412120647521</v>
      </c>
      <c r="AD9" s="2">
        <f>PB!AF25/Summary!$D$9</f>
        <v>6429.4412120647521</v>
      </c>
      <c r="AE9" s="2">
        <f>PB!AG25/Summary!$D$9</f>
        <v>6429.4412120647521</v>
      </c>
      <c r="AF9" s="2">
        <f t="shared" si="0"/>
        <v>160736.0303016188</v>
      </c>
      <c r="AG9" s="7">
        <f t="shared" si="1"/>
        <v>6429.4412120647521</v>
      </c>
    </row>
    <row r="10" spans="1:34" s="170" customFormat="1" ht="13.8">
      <c r="A10" s="166" t="s">
        <v>15</v>
      </c>
      <c r="B10" s="167">
        <f>PB!D26/Summary!$D$9</f>
        <v>1800</v>
      </c>
      <c r="C10" s="167">
        <f>PB!E26/Summary!$D$9</f>
        <v>1800</v>
      </c>
      <c r="D10" s="167">
        <f>PB!F26/Summary!$D$9</f>
        <v>1800</v>
      </c>
      <c r="E10" s="167">
        <f>PB!G26/Summary!$D$9</f>
        <v>1800</v>
      </c>
      <c r="F10" s="167">
        <f>PB!H26/Summary!$D$9</f>
        <v>1800</v>
      </c>
      <c r="G10" s="167">
        <f>PB!I26/Summary!$D$9</f>
        <v>1800</v>
      </c>
      <c r="H10" s="167">
        <f>PB!J26/Summary!$D$9</f>
        <v>1800</v>
      </c>
      <c r="I10" s="167">
        <f>PB!K26/Summary!$D$9</f>
        <v>1800</v>
      </c>
      <c r="J10" s="167">
        <f>PB!L26/Summary!$D$9</f>
        <v>1800</v>
      </c>
      <c r="K10" s="167">
        <f>PB!M26/Summary!$D$9</f>
        <v>1800</v>
      </c>
      <c r="L10" s="167">
        <f>PB!N26/Summary!$D$9</f>
        <v>1800</v>
      </c>
      <c r="M10" s="167">
        <f>PB!O26/Summary!$D$9</f>
        <v>1800</v>
      </c>
      <c r="N10" s="167">
        <f>PB!P26/Summary!$D$9</f>
        <v>1800</v>
      </c>
      <c r="O10" s="167">
        <f>PB!Q26/Summary!$D$9</f>
        <v>1800</v>
      </c>
      <c r="P10" s="167">
        <f>PB!R26/Summary!$D$9</f>
        <v>1800</v>
      </c>
      <c r="Q10" s="167">
        <f>PB!S26/Summary!$D$9</f>
        <v>1800</v>
      </c>
      <c r="R10" s="167">
        <f>PB!T26/Summary!$D$9</f>
        <v>1800</v>
      </c>
      <c r="S10" s="167">
        <f>PB!U26/Summary!$D$9</f>
        <v>1800</v>
      </c>
      <c r="T10" s="167">
        <f>PB!V26/Summary!$D$9</f>
        <v>1800</v>
      </c>
      <c r="U10" s="167">
        <f>PB!W26/Summary!$D$9</f>
        <v>1800</v>
      </c>
      <c r="V10" s="167">
        <f>PB!X26/Summary!$D$9</f>
        <v>1800</v>
      </c>
      <c r="W10" s="167">
        <f>PB!Y26/Summary!$D$9</f>
        <v>1800</v>
      </c>
      <c r="X10" s="167">
        <f>PB!Z26/Summary!$D$9</f>
        <v>1800</v>
      </c>
      <c r="Y10" s="167">
        <f>PB!AA26/Summary!$D$9</f>
        <v>1800</v>
      </c>
      <c r="Z10" s="167">
        <f>PB!AB26/Summary!$D$9</f>
        <v>1800</v>
      </c>
      <c r="AA10" s="167">
        <f>PB!AC26/Summary!$D$9</f>
        <v>1800</v>
      </c>
      <c r="AB10" s="167">
        <f>PB!AD26/Summary!$D$9</f>
        <v>1800</v>
      </c>
      <c r="AC10" s="167">
        <f>PB!AE26/Summary!$D$9</f>
        <v>1800</v>
      </c>
      <c r="AD10" s="167">
        <f>PB!AF26/Summary!$D$9</f>
        <v>1800</v>
      </c>
      <c r="AE10" s="167">
        <f>PB!AG26/Summary!$D$9</f>
        <v>1800</v>
      </c>
      <c r="AF10" s="167">
        <f t="shared" si="0"/>
        <v>45000</v>
      </c>
      <c r="AG10" s="168">
        <f t="shared" si="1"/>
        <v>1800</v>
      </c>
      <c r="AH10" s="169"/>
    </row>
    <row r="11" spans="1:34" s="163" customFormat="1" ht="13.8">
      <c r="A11" s="159" t="s">
        <v>16</v>
      </c>
      <c r="B11" s="160">
        <f>PB!D27/Summary!$D$9</f>
        <v>86613.344230769231</v>
      </c>
      <c r="C11" s="160">
        <f>PB!E27/Summary!$D$9</f>
        <v>86613.344230769231</v>
      </c>
      <c r="D11" s="160">
        <f>PB!F27/Summary!$D$9</f>
        <v>86613.344230769231</v>
      </c>
      <c r="E11" s="160">
        <f>PB!G27/Summary!$D$9</f>
        <v>86613.344230769231</v>
      </c>
      <c r="F11" s="160">
        <f>PB!H27/Summary!$D$9</f>
        <v>86613.344230769231</v>
      </c>
      <c r="G11" s="160">
        <f>PB!I27/Summary!$D$9</f>
        <v>86613.344230769231</v>
      </c>
      <c r="H11" s="160">
        <f>PB!J27/Summary!$D$9</f>
        <v>86613.344230769231</v>
      </c>
      <c r="I11" s="160">
        <f>PB!K27/Summary!$D$9</f>
        <v>86613.344230769231</v>
      </c>
      <c r="J11" s="160">
        <f>PB!L27/Summary!$D$9</f>
        <v>86613.344230769231</v>
      </c>
      <c r="K11" s="160">
        <f>PB!M27/Summary!$D$9</f>
        <v>86613.344230769231</v>
      </c>
      <c r="L11" s="160">
        <f>PB!N27/Summary!$D$9</f>
        <v>86613.344230769231</v>
      </c>
      <c r="M11" s="160">
        <f>PB!O27/Summary!$D$9</f>
        <v>86613.344230769231</v>
      </c>
      <c r="N11" s="160">
        <f>PB!P27/Summary!$D$9</f>
        <v>86613.344230769231</v>
      </c>
      <c r="O11" s="160">
        <f>PB!Q27/Summary!$D$9</f>
        <v>86613.344230769231</v>
      </c>
      <c r="P11" s="160">
        <f>PB!R27/Summary!$D$9</f>
        <v>86613.344230769231</v>
      </c>
      <c r="Q11" s="160">
        <f>PB!S27/Summary!$D$9</f>
        <v>86613.344230769231</v>
      </c>
      <c r="R11" s="160">
        <f>PB!T27/Summary!$D$9</f>
        <v>86613.344230769231</v>
      </c>
      <c r="S11" s="160">
        <f>PB!U27/Summary!$D$9</f>
        <v>86613.344230769231</v>
      </c>
      <c r="T11" s="160">
        <f>PB!V27/Summary!$D$9</f>
        <v>86613.344230769231</v>
      </c>
      <c r="U11" s="160">
        <f>PB!W27/Summary!$D$9</f>
        <v>86613.344230769231</v>
      </c>
      <c r="V11" s="160">
        <f>PB!X27/Summary!$D$9</f>
        <v>86613.344230769231</v>
      </c>
      <c r="W11" s="160">
        <f>PB!Y27/Summary!$D$9</f>
        <v>86613.344230769231</v>
      </c>
      <c r="X11" s="160">
        <f>PB!Z27/Summary!$D$9</f>
        <v>86613.344230769231</v>
      </c>
      <c r="Y11" s="160">
        <f>PB!AA27/Summary!$D$9</f>
        <v>86613.344230769231</v>
      </c>
      <c r="Z11" s="160">
        <f>PB!AB27/Summary!$D$9</f>
        <v>86613.344230769231</v>
      </c>
      <c r="AA11" s="160">
        <f>PB!AC27/Summary!$D$9</f>
        <v>86613.344230769231</v>
      </c>
      <c r="AB11" s="160">
        <f>PB!AD27/Summary!$D$9</f>
        <v>86613.344230769231</v>
      </c>
      <c r="AC11" s="160">
        <f>PB!AE27/Summary!$D$9</f>
        <v>86613.344230769231</v>
      </c>
      <c r="AD11" s="160">
        <f>PB!AF27/Summary!$D$9</f>
        <v>86613.344230769231</v>
      </c>
      <c r="AE11" s="160">
        <f>PB!AG27/Summary!$D$9</f>
        <v>86613.344230769231</v>
      </c>
      <c r="AF11" s="160">
        <f t="shared" si="0"/>
        <v>2165333.6057692305</v>
      </c>
      <c r="AG11" s="161">
        <f t="shared" si="1"/>
        <v>86613.344230769217</v>
      </c>
      <c r="AH11" s="162"/>
    </row>
    <row r="12" spans="1:34" ht="13.8">
      <c r="A12" s="15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7"/>
      <c r="AH12" s="4"/>
    </row>
    <row r="13" spans="1:34" ht="13.8">
      <c r="A13" s="152" t="s">
        <v>18</v>
      </c>
      <c r="B13" s="2">
        <f>PB!D28/Summary!$D$9</f>
        <v>2520</v>
      </c>
      <c r="C13" s="2">
        <f>PB!E28/Summary!$D$9</f>
        <v>2520</v>
      </c>
      <c r="D13" s="2">
        <f>PB!F28/Summary!$D$9</f>
        <v>2520</v>
      </c>
      <c r="E13" s="2">
        <f>PB!G28/Summary!$D$9</f>
        <v>2520</v>
      </c>
      <c r="F13" s="2">
        <f>PB!H28/Summary!$D$9</f>
        <v>2520</v>
      </c>
      <c r="G13" s="2">
        <f>PB!I28/Summary!$D$9</f>
        <v>2520</v>
      </c>
      <c r="H13" s="2">
        <f>PB!J28/Summary!$D$9</f>
        <v>2520</v>
      </c>
      <c r="I13" s="2">
        <f>PB!K28/Summary!$D$9</f>
        <v>2520</v>
      </c>
      <c r="J13" s="2">
        <f>PB!L28/Summary!$D$9</f>
        <v>2520</v>
      </c>
      <c r="K13" s="2">
        <f>PB!M28/Summary!$D$9</f>
        <v>2520</v>
      </c>
      <c r="L13" s="2">
        <f>PB!N28/Summary!$D$9</f>
        <v>2520</v>
      </c>
      <c r="M13" s="2">
        <f>PB!O28/Summary!$D$9</f>
        <v>2520</v>
      </c>
      <c r="N13" s="2">
        <f>PB!P28/Summary!$D$9</f>
        <v>2520</v>
      </c>
      <c r="O13" s="2">
        <f>PB!Q28/Summary!$D$9</f>
        <v>2520</v>
      </c>
      <c r="P13" s="2">
        <f>PB!R28/Summary!$D$9</f>
        <v>2520</v>
      </c>
      <c r="Q13" s="2">
        <f>PB!S28/Summary!$D$9</f>
        <v>2520</v>
      </c>
      <c r="R13" s="2">
        <f>PB!T28/Summary!$D$9</f>
        <v>2520</v>
      </c>
      <c r="S13" s="2">
        <f>PB!U28/Summary!$D$9</f>
        <v>2520</v>
      </c>
      <c r="T13" s="2">
        <f>PB!V28/Summary!$D$9</f>
        <v>2520</v>
      </c>
      <c r="U13" s="2">
        <f>PB!W28/Summary!$D$9</f>
        <v>2520</v>
      </c>
      <c r="V13" s="2">
        <f>PB!X28/Summary!$D$9</f>
        <v>2520</v>
      </c>
      <c r="W13" s="2">
        <f>PB!Y28/Summary!$D$9</f>
        <v>2520</v>
      </c>
      <c r="X13" s="2">
        <f>PB!Z28/Summary!$D$9</f>
        <v>2520</v>
      </c>
      <c r="Y13" s="2">
        <f>PB!AA28/Summary!$D$9</f>
        <v>2520</v>
      </c>
      <c r="Z13" s="2">
        <f>PB!AB28/Summary!$D$9</f>
        <v>2520</v>
      </c>
      <c r="AA13" s="2">
        <f>PB!AC28/Summary!$D$9</f>
        <v>2520</v>
      </c>
      <c r="AB13" s="2">
        <f>PB!AD28/Summary!$D$9</f>
        <v>2520</v>
      </c>
      <c r="AC13" s="2">
        <f>PB!AE28/Summary!$D$9</f>
        <v>2520</v>
      </c>
      <c r="AD13" s="2">
        <f>PB!AF28/Summary!$D$9</f>
        <v>2520</v>
      </c>
      <c r="AE13" s="2">
        <f>PB!AG28/Summary!$D$9</f>
        <v>2520</v>
      </c>
      <c r="AF13" s="2">
        <f t="shared" si="0"/>
        <v>63000</v>
      </c>
      <c r="AG13" s="7">
        <f t="shared" si="1"/>
        <v>2520</v>
      </c>
      <c r="AH13" s="4"/>
    </row>
    <row r="14" spans="1:34" ht="13.8">
      <c r="A14" s="152" t="s">
        <v>19</v>
      </c>
      <c r="B14" s="2">
        <f>PB!D29/Summary!$D$9</f>
        <v>1080</v>
      </c>
      <c r="C14" s="2">
        <f>PB!E29/Summary!$D$9</f>
        <v>1080</v>
      </c>
      <c r="D14" s="2">
        <f>PB!F29/Summary!$D$9</f>
        <v>1080</v>
      </c>
      <c r="E14" s="2">
        <f>PB!G29/Summary!$D$9</f>
        <v>1080</v>
      </c>
      <c r="F14" s="2">
        <f>PB!H29/Summary!$D$9</f>
        <v>1080</v>
      </c>
      <c r="G14" s="2">
        <f>PB!I29/Summary!$D$9</f>
        <v>1080</v>
      </c>
      <c r="H14" s="2">
        <f>PB!J29/Summary!$D$9</f>
        <v>1080</v>
      </c>
      <c r="I14" s="2">
        <f>PB!K29/Summary!$D$9</f>
        <v>1080</v>
      </c>
      <c r="J14" s="2">
        <f>PB!L29/Summary!$D$9</f>
        <v>1080</v>
      </c>
      <c r="K14" s="2">
        <f>PB!M29/Summary!$D$9</f>
        <v>1080</v>
      </c>
      <c r="L14" s="2">
        <f>PB!N29/Summary!$D$9</f>
        <v>1080</v>
      </c>
      <c r="M14" s="2">
        <f>PB!O29/Summary!$D$9</f>
        <v>1080</v>
      </c>
      <c r="N14" s="2">
        <f>PB!P29/Summary!$D$9</f>
        <v>1080</v>
      </c>
      <c r="O14" s="2">
        <f>PB!Q29/Summary!$D$9</f>
        <v>1080</v>
      </c>
      <c r="P14" s="2">
        <f>PB!R29/Summary!$D$9</f>
        <v>1080</v>
      </c>
      <c r="Q14" s="2">
        <f>PB!S29/Summary!$D$9</f>
        <v>1080</v>
      </c>
      <c r="R14" s="2">
        <f>PB!T29/Summary!$D$9</f>
        <v>1080</v>
      </c>
      <c r="S14" s="2">
        <f>PB!U29/Summary!$D$9</f>
        <v>1080</v>
      </c>
      <c r="T14" s="2">
        <f>PB!V29/Summary!$D$9</f>
        <v>1080</v>
      </c>
      <c r="U14" s="2">
        <f>PB!W29/Summary!$D$9</f>
        <v>1080</v>
      </c>
      <c r="V14" s="2">
        <f>PB!X29/Summary!$D$9</f>
        <v>1080</v>
      </c>
      <c r="W14" s="2">
        <f>PB!Y29/Summary!$D$9</f>
        <v>1080</v>
      </c>
      <c r="X14" s="2">
        <f>PB!Z29/Summary!$D$9</f>
        <v>1080</v>
      </c>
      <c r="Y14" s="2">
        <f>PB!AA29/Summary!$D$9</f>
        <v>1080</v>
      </c>
      <c r="Z14" s="2">
        <f>PB!AB29/Summary!$D$9</f>
        <v>1080</v>
      </c>
      <c r="AA14" s="2">
        <f>PB!AC29/Summary!$D$9</f>
        <v>1080</v>
      </c>
      <c r="AB14" s="2">
        <f>PB!AD29/Summary!$D$9</f>
        <v>1080</v>
      </c>
      <c r="AC14" s="2">
        <f>PB!AE29/Summary!$D$9</f>
        <v>1080</v>
      </c>
      <c r="AD14" s="2">
        <f>PB!AF29/Summary!$D$9</f>
        <v>1080</v>
      </c>
      <c r="AE14" s="2">
        <f>PB!AG29/Summary!$D$9</f>
        <v>1080</v>
      </c>
      <c r="AF14" s="2">
        <f t="shared" si="0"/>
        <v>27000</v>
      </c>
      <c r="AG14" s="7">
        <f t="shared" si="1"/>
        <v>1080</v>
      </c>
      <c r="AH14" s="4"/>
    </row>
    <row r="15" spans="1:34" ht="13.8">
      <c r="A15" s="155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7"/>
    </row>
    <row r="16" spans="1:34" ht="13.8">
      <c r="A16" s="155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7"/>
    </row>
    <row r="17" spans="1:34" ht="13.8">
      <c r="A17" s="155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7"/>
    </row>
    <row r="18" spans="1:34" ht="13.8">
      <c r="A18" s="155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7"/>
    </row>
    <row r="19" spans="1:34" ht="13.8">
      <c r="A19" s="155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7"/>
    </row>
    <row r="20" spans="1:34" ht="13.8">
      <c r="A20" s="154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7"/>
    </row>
    <row r="21" spans="1:34" ht="13.8">
      <c r="A21" s="15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7"/>
    </row>
    <row r="22" spans="1:34" s="163" customFormat="1" ht="13.8">
      <c r="A22" s="164" t="s">
        <v>44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1"/>
    </row>
    <row r="23" spans="1:34" s="163" customFormat="1" ht="13.8">
      <c r="A23" s="159" t="s">
        <v>23</v>
      </c>
      <c r="B23" s="160">
        <f>72*25</f>
        <v>1800</v>
      </c>
      <c r="C23" s="160">
        <f t="shared" ref="C23:AE23" si="2">72*25</f>
        <v>1800</v>
      </c>
      <c r="D23" s="160">
        <f t="shared" si="2"/>
        <v>1800</v>
      </c>
      <c r="E23" s="160">
        <f t="shared" si="2"/>
        <v>1800</v>
      </c>
      <c r="F23" s="160">
        <f t="shared" si="2"/>
        <v>1800</v>
      </c>
      <c r="G23" s="160">
        <f t="shared" si="2"/>
        <v>1800</v>
      </c>
      <c r="H23" s="160">
        <f t="shared" si="2"/>
        <v>1800</v>
      </c>
      <c r="I23" s="160">
        <f t="shared" si="2"/>
        <v>1800</v>
      </c>
      <c r="J23" s="160">
        <f t="shared" si="2"/>
        <v>1800</v>
      </c>
      <c r="K23" s="160">
        <f t="shared" si="2"/>
        <v>1800</v>
      </c>
      <c r="L23" s="160">
        <f t="shared" si="2"/>
        <v>1800</v>
      </c>
      <c r="M23" s="160">
        <f t="shared" si="2"/>
        <v>1800</v>
      </c>
      <c r="N23" s="160">
        <f t="shared" si="2"/>
        <v>1800</v>
      </c>
      <c r="O23" s="160">
        <f t="shared" si="2"/>
        <v>1800</v>
      </c>
      <c r="P23" s="160">
        <f t="shared" si="2"/>
        <v>1800</v>
      </c>
      <c r="Q23" s="160">
        <f t="shared" si="2"/>
        <v>1800</v>
      </c>
      <c r="R23" s="160">
        <f t="shared" si="2"/>
        <v>1800</v>
      </c>
      <c r="S23" s="160">
        <f t="shared" si="2"/>
        <v>1800</v>
      </c>
      <c r="T23" s="160">
        <f t="shared" si="2"/>
        <v>1800</v>
      </c>
      <c r="U23" s="160">
        <f t="shared" si="2"/>
        <v>1800</v>
      </c>
      <c r="V23" s="160">
        <f t="shared" si="2"/>
        <v>1800</v>
      </c>
      <c r="W23" s="160">
        <f t="shared" si="2"/>
        <v>1800</v>
      </c>
      <c r="X23" s="160">
        <f t="shared" si="2"/>
        <v>1800</v>
      </c>
      <c r="Y23" s="160">
        <f t="shared" si="2"/>
        <v>1800</v>
      </c>
      <c r="Z23" s="160">
        <f t="shared" si="2"/>
        <v>1800</v>
      </c>
      <c r="AA23" s="160">
        <f t="shared" si="2"/>
        <v>1800</v>
      </c>
      <c r="AB23" s="160">
        <f t="shared" si="2"/>
        <v>1800</v>
      </c>
      <c r="AC23" s="160">
        <f t="shared" si="2"/>
        <v>1800</v>
      </c>
      <c r="AD23" s="160">
        <f t="shared" si="2"/>
        <v>1800</v>
      </c>
      <c r="AE23" s="160">
        <f t="shared" si="2"/>
        <v>1800</v>
      </c>
      <c r="AF23" s="160">
        <f t="shared" si="0"/>
        <v>45000</v>
      </c>
      <c r="AG23" s="161">
        <f t="shared" si="1"/>
        <v>1800</v>
      </c>
      <c r="AH23" s="165"/>
    </row>
    <row r="24" spans="1:34" s="163" customFormat="1" ht="13.8">
      <c r="A24" s="159" t="s">
        <v>18</v>
      </c>
      <c r="B24" s="160">
        <f>60*25</f>
        <v>1500</v>
      </c>
      <c r="C24" s="160">
        <f t="shared" ref="C24:AE24" si="3">60*25</f>
        <v>1500</v>
      </c>
      <c r="D24" s="160">
        <f t="shared" si="3"/>
        <v>1500</v>
      </c>
      <c r="E24" s="160">
        <f t="shared" si="3"/>
        <v>1500</v>
      </c>
      <c r="F24" s="160">
        <f t="shared" si="3"/>
        <v>1500</v>
      </c>
      <c r="G24" s="160">
        <f t="shared" si="3"/>
        <v>1500</v>
      </c>
      <c r="H24" s="160">
        <f t="shared" si="3"/>
        <v>1500</v>
      </c>
      <c r="I24" s="160">
        <f t="shared" si="3"/>
        <v>1500</v>
      </c>
      <c r="J24" s="160">
        <f t="shared" si="3"/>
        <v>1500</v>
      </c>
      <c r="K24" s="160">
        <f t="shared" si="3"/>
        <v>1500</v>
      </c>
      <c r="L24" s="160">
        <f t="shared" si="3"/>
        <v>1500</v>
      </c>
      <c r="M24" s="160">
        <f t="shared" si="3"/>
        <v>1500</v>
      </c>
      <c r="N24" s="160">
        <f t="shared" si="3"/>
        <v>1500</v>
      </c>
      <c r="O24" s="160">
        <f t="shared" si="3"/>
        <v>1500</v>
      </c>
      <c r="P24" s="160">
        <f t="shared" si="3"/>
        <v>1500</v>
      </c>
      <c r="Q24" s="160">
        <f t="shared" si="3"/>
        <v>1500</v>
      </c>
      <c r="R24" s="160">
        <f t="shared" si="3"/>
        <v>1500</v>
      </c>
      <c r="S24" s="160">
        <f t="shared" si="3"/>
        <v>1500</v>
      </c>
      <c r="T24" s="160">
        <f t="shared" si="3"/>
        <v>1500</v>
      </c>
      <c r="U24" s="160">
        <f t="shared" si="3"/>
        <v>1500</v>
      </c>
      <c r="V24" s="160">
        <f t="shared" si="3"/>
        <v>1500</v>
      </c>
      <c r="W24" s="160">
        <f t="shared" si="3"/>
        <v>1500</v>
      </c>
      <c r="X24" s="160">
        <f t="shared" si="3"/>
        <v>1500</v>
      </c>
      <c r="Y24" s="160">
        <f t="shared" si="3"/>
        <v>1500</v>
      </c>
      <c r="Z24" s="160">
        <f t="shared" si="3"/>
        <v>1500</v>
      </c>
      <c r="AA24" s="160">
        <f t="shared" si="3"/>
        <v>1500</v>
      </c>
      <c r="AB24" s="160">
        <f t="shared" si="3"/>
        <v>1500</v>
      </c>
      <c r="AC24" s="160">
        <f t="shared" si="3"/>
        <v>1500</v>
      </c>
      <c r="AD24" s="160">
        <f t="shared" si="3"/>
        <v>1500</v>
      </c>
      <c r="AE24" s="160">
        <f t="shared" si="3"/>
        <v>1500</v>
      </c>
      <c r="AF24" s="160">
        <f t="shared" si="0"/>
        <v>37500</v>
      </c>
      <c r="AG24" s="161">
        <f t="shared" si="1"/>
        <v>1500</v>
      </c>
      <c r="AH24" s="162"/>
    </row>
    <row r="25" spans="1:34" s="163" customFormat="1" ht="13.8">
      <c r="A25" s="159" t="s">
        <v>24</v>
      </c>
      <c r="B25" s="160">
        <f>110*25</f>
        <v>2750</v>
      </c>
      <c r="C25" s="160">
        <f t="shared" ref="C25:AE25" si="4">110*25</f>
        <v>2750</v>
      </c>
      <c r="D25" s="160">
        <f t="shared" si="4"/>
        <v>2750</v>
      </c>
      <c r="E25" s="160">
        <f t="shared" si="4"/>
        <v>2750</v>
      </c>
      <c r="F25" s="160">
        <f t="shared" si="4"/>
        <v>2750</v>
      </c>
      <c r="G25" s="160">
        <f t="shared" si="4"/>
        <v>2750</v>
      </c>
      <c r="H25" s="160">
        <f t="shared" si="4"/>
        <v>2750</v>
      </c>
      <c r="I25" s="160">
        <f t="shared" si="4"/>
        <v>2750</v>
      </c>
      <c r="J25" s="160">
        <f t="shared" si="4"/>
        <v>2750</v>
      </c>
      <c r="K25" s="160">
        <f t="shared" si="4"/>
        <v>2750</v>
      </c>
      <c r="L25" s="160">
        <f t="shared" si="4"/>
        <v>2750</v>
      </c>
      <c r="M25" s="160">
        <f t="shared" si="4"/>
        <v>2750</v>
      </c>
      <c r="N25" s="160">
        <f t="shared" si="4"/>
        <v>2750</v>
      </c>
      <c r="O25" s="160">
        <f t="shared" si="4"/>
        <v>2750</v>
      </c>
      <c r="P25" s="160">
        <f t="shared" si="4"/>
        <v>2750</v>
      </c>
      <c r="Q25" s="160">
        <f t="shared" si="4"/>
        <v>2750</v>
      </c>
      <c r="R25" s="160">
        <f t="shared" si="4"/>
        <v>2750</v>
      </c>
      <c r="S25" s="160">
        <f t="shared" si="4"/>
        <v>2750</v>
      </c>
      <c r="T25" s="160">
        <f t="shared" si="4"/>
        <v>2750</v>
      </c>
      <c r="U25" s="160">
        <f t="shared" si="4"/>
        <v>2750</v>
      </c>
      <c r="V25" s="160">
        <f t="shared" si="4"/>
        <v>2750</v>
      </c>
      <c r="W25" s="160">
        <f t="shared" si="4"/>
        <v>2750</v>
      </c>
      <c r="X25" s="160">
        <f t="shared" si="4"/>
        <v>2750</v>
      </c>
      <c r="Y25" s="160">
        <f t="shared" si="4"/>
        <v>2750</v>
      </c>
      <c r="Z25" s="160">
        <f t="shared" si="4"/>
        <v>2750</v>
      </c>
      <c r="AA25" s="160">
        <f t="shared" si="4"/>
        <v>2750</v>
      </c>
      <c r="AB25" s="160">
        <f t="shared" si="4"/>
        <v>2750</v>
      </c>
      <c r="AC25" s="160">
        <f t="shared" si="4"/>
        <v>2750</v>
      </c>
      <c r="AD25" s="160">
        <f t="shared" si="4"/>
        <v>2750</v>
      </c>
      <c r="AE25" s="160">
        <f t="shared" si="4"/>
        <v>2750</v>
      </c>
      <c r="AF25" s="160">
        <f t="shared" si="0"/>
        <v>68750</v>
      </c>
      <c r="AG25" s="161">
        <f t="shared" si="1"/>
        <v>2750</v>
      </c>
      <c r="AH25" s="165"/>
    </row>
    <row r="26" spans="1:34" ht="14.4" thickBot="1">
      <c r="A26" s="157" t="s">
        <v>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20"/>
    </row>
    <row r="27" spans="1:34" ht="13.8">
      <c r="A27" s="158" t="s">
        <v>106</v>
      </c>
      <c r="B27" s="18">
        <f>SUM(B5:B25)</f>
        <v>133751.57873229176</v>
      </c>
      <c r="C27" s="18">
        <f>SUM(C5:C25)</f>
        <v>133751.57873229176</v>
      </c>
      <c r="D27" s="18">
        <f t="shared" ref="D27:Z27" si="5">SUM(D5:D25)</f>
        <v>133751.57873229176</v>
      </c>
      <c r="E27" s="18">
        <f t="shared" si="5"/>
        <v>133751.57873229176</v>
      </c>
      <c r="F27" s="18">
        <f t="shared" si="5"/>
        <v>133751.57873229176</v>
      </c>
      <c r="G27" s="18">
        <f t="shared" si="5"/>
        <v>133751.57873229176</v>
      </c>
      <c r="H27" s="18">
        <f t="shared" si="5"/>
        <v>133751.57873229176</v>
      </c>
      <c r="I27" s="18">
        <f t="shared" si="5"/>
        <v>133751.57873229176</v>
      </c>
      <c r="J27" s="18">
        <f t="shared" si="5"/>
        <v>133751.57873229176</v>
      </c>
      <c r="K27" s="18">
        <f t="shared" si="5"/>
        <v>133751.57873229176</v>
      </c>
      <c r="L27" s="18">
        <f t="shared" si="5"/>
        <v>133751.57873229176</v>
      </c>
      <c r="M27" s="18">
        <f t="shared" si="5"/>
        <v>133751.57873229176</v>
      </c>
      <c r="N27" s="18">
        <f t="shared" si="5"/>
        <v>133751.57873229176</v>
      </c>
      <c r="O27" s="18">
        <f t="shared" si="5"/>
        <v>133751.57873229176</v>
      </c>
      <c r="P27" s="18">
        <f t="shared" si="5"/>
        <v>133751.57873229176</v>
      </c>
      <c r="Q27" s="18">
        <f t="shared" si="5"/>
        <v>133751.57873229176</v>
      </c>
      <c r="R27" s="18">
        <f t="shared" si="5"/>
        <v>133751.57873229176</v>
      </c>
      <c r="S27" s="18">
        <f t="shared" si="5"/>
        <v>133751.57873229176</v>
      </c>
      <c r="T27" s="18">
        <f t="shared" si="5"/>
        <v>133751.57873229176</v>
      </c>
      <c r="U27" s="18">
        <f t="shared" si="5"/>
        <v>133751.57873229176</v>
      </c>
      <c r="V27" s="18">
        <f t="shared" si="5"/>
        <v>133751.57873229176</v>
      </c>
      <c r="W27" s="18">
        <f t="shared" si="5"/>
        <v>133751.57873229176</v>
      </c>
      <c r="X27" s="18">
        <f t="shared" si="5"/>
        <v>133751.57873229176</v>
      </c>
      <c r="Y27" s="18">
        <f t="shared" si="5"/>
        <v>133751.57873229176</v>
      </c>
      <c r="Z27" s="18">
        <f t="shared" si="5"/>
        <v>133751.57873229176</v>
      </c>
      <c r="AA27" s="18">
        <f t="shared" ref="AA27:AE27" si="6">SUM(AA5:AA25)</f>
        <v>133751.57873229176</v>
      </c>
      <c r="AB27" s="18">
        <f t="shared" si="6"/>
        <v>133751.57873229176</v>
      </c>
      <c r="AC27" s="18">
        <f t="shared" si="6"/>
        <v>133751.57873229176</v>
      </c>
      <c r="AD27" s="18">
        <f t="shared" si="6"/>
        <v>133751.57873229176</v>
      </c>
      <c r="AE27" s="18">
        <f t="shared" si="6"/>
        <v>133751.57873229176</v>
      </c>
      <c r="AF27" s="18">
        <f>SUM(B27:Z27)</f>
        <v>3343789.468307293</v>
      </c>
      <c r="AG27" s="19">
        <f t="shared" ref="AG27:AG32" si="7">AVERAGE(B27:Z27)</f>
        <v>133751.57873229173</v>
      </c>
    </row>
    <row r="28" spans="1:34" ht="13.8">
      <c r="A28" s="154" t="s">
        <v>107</v>
      </c>
      <c r="B28" s="2">
        <f>B27/B35</f>
        <v>89.167719154861175</v>
      </c>
      <c r="C28" s="2">
        <f t="shared" ref="C28:Z28" si="8">C27/C35</f>
        <v>89.167719154861175</v>
      </c>
      <c r="D28" s="2">
        <f t="shared" si="8"/>
        <v>89.167719154861175</v>
      </c>
      <c r="E28" s="2">
        <f t="shared" si="8"/>
        <v>89.167719154861175</v>
      </c>
      <c r="F28" s="2">
        <f t="shared" si="8"/>
        <v>89.167719154861175</v>
      </c>
      <c r="G28" s="2">
        <f t="shared" si="8"/>
        <v>89.167719154861175</v>
      </c>
      <c r="H28" s="2">
        <f t="shared" si="8"/>
        <v>89.167719154861175</v>
      </c>
      <c r="I28" s="2">
        <f t="shared" si="8"/>
        <v>89.167719154861175</v>
      </c>
      <c r="J28" s="2">
        <f t="shared" si="8"/>
        <v>89.167719154861175</v>
      </c>
      <c r="K28" s="2">
        <f t="shared" si="8"/>
        <v>89.167719154861175</v>
      </c>
      <c r="L28" s="2">
        <f t="shared" si="8"/>
        <v>89.167719154861175</v>
      </c>
      <c r="M28" s="2">
        <f t="shared" si="8"/>
        <v>89.167719154861175</v>
      </c>
      <c r="N28" s="2">
        <f t="shared" si="8"/>
        <v>89.167719154861175</v>
      </c>
      <c r="O28" s="2">
        <f t="shared" si="8"/>
        <v>89.167719154861175</v>
      </c>
      <c r="P28" s="2">
        <f t="shared" si="8"/>
        <v>89.167719154861175</v>
      </c>
      <c r="Q28" s="2">
        <f t="shared" si="8"/>
        <v>89.167719154861175</v>
      </c>
      <c r="R28" s="2">
        <f t="shared" si="8"/>
        <v>89.167719154861175</v>
      </c>
      <c r="S28" s="2">
        <f t="shared" si="8"/>
        <v>89.167719154861175</v>
      </c>
      <c r="T28" s="2">
        <f t="shared" si="8"/>
        <v>89.167719154861175</v>
      </c>
      <c r="U28" s="2">
        <f t="shared" si="8"/>
        <v>89.167719154861175</v>
      </c>
      <c r="V28" s="2">
        <f t="shared" si="8"/>
        <v>89.167719154861175</v>
      </c>
      <c r="W28" s="2">
        <f t="shared" si="8"/>
        <v>89.167719154861175</v>
      </c>
      <c r="X28" s="2">
        <f t="shared" si="8"/>
        <v>89.167719154861175</v>
      </c>
      <c r="Y28" s="2">
        <f t="shared" si="8"/>
        <v>89.167719154861175</v>
      </c>
      <c r="Z28" s="2">
        <f t="shared" si="8"/>
        <v>89.167719154861175</v>
      </c>
      <c r="AA28" s="2">
        <f t="shared" ref="AA28:AE28" si="9">AA27/AA35</f>
        <v>89.167719154861175</v>
      </c>
      <c r="AB28" s="2">
        <f t="shared" si="9"/>
        <v>89.167719154861175</v>
      </c>
      <c r="AC28" s="2">
        <f t="shared" si="9"/>
        <v>89.167719154861175</v>
      </c>
      <c r="AD28" s="2">
        <f t="shared" si="9"/>
        <v>89.167719154861175</v>
      </c>
      <c r="AE28" s="2">
        <f t="shared" si="9"/>
        <v>89.167719154861175</v>
      </c>
      <c r="AF28" s="18">
        <f>AF27/AF35</f>
        <v>89.167719154861146</v>
      </c>
      <c r="AG28" s="7">
        <f t="shared" si="7"/>
        <v>89.167719154861118</v>
      </c>
    </row>
    <row r="29" spans="1:34" ht="13.8">
      <c r="A29" s="154" t="s">
        <v>108</v>
      </c>
      <c r="B29" s="2">
        <f>B5+SUM(B6:B10)+B11+B12+SUM(B14:B19)+SUM(B23:B25)</f>
        <v>131231.57873229176</v>
      </c>
      <c r="C29" s="2">
        <f t="shared" ref="C29:Z29" si="10">C5+SUM(C10:C19)+C25</f>
        <v>110610.48478971326</v>
      </c>
      <c r="D29" s="2">
        <f t="shared" si="10"/>
        <v>110610.48478971326</v>
      </c>
      <c r="E29" s="2">
        <f t="shared" si="10"/>
        <v>110610.48478971326</v>
      </c>
      <c r="F29" s="2">
        <f t="shared" si="10"/>
        <v>110610.48478971326</v>
      </c>
      <c r="G29" s="2">
        <f t="shared" si="10"/>
        <v>110610.48478971326</v>
      </c>
      <c r="H29" s="2">
        <f t="shared" si="10"/>
        <v>110610.48478971326</v>
      </c>
      <c r="I29" s="2">
        <f t="shared" si="10"/>
        <v>110610.48478971326</v>
      </c>
      <c r="J29" s="2">
        <f t="shared" si="10"/>
        <v>110610.48478971326</v>
      </c>
      <c r="K29" s="2">
        <f t="shared" si="10"/>
        <v>110610.48478971326</v>
      </c>
      <c r="L29" s="2">
        <f t="shared" si="10"/>
        <v>110610.48478971326</v>
      </c>
      <c r="M29" s="2">
        <f t="shared" si="10"/>
        <v>110610.48478971326</v>
      </c>
      <c r="N29" s="2">
        <f t="shared" si="10"/>
        <v>110610.48478971326</v>
      </c>
      <c r="O29" s="2">
        <f t="shared" si="10"/>
        <v>110610.48478971326</v>
      </c>
      <c r="P29" s="2">
        <f t="shared" si="10"/>
        <v>110610.48478971326</v>
      </c>
      <c r="Q29" s="2">
        <f t="shared" si="10"/>
        <v>110610.48478971326</v>
      </c>
      <c r="R29" s="2">
        <f t="shared" si="10"/>
        <v>110610.48478971326</v>
      </c>
      <c r="S29" s="2">
        <f t="shared" si="10"/>
        <v>110610.48478971326</v>
      </c>
      <c r="T29" s="2">
        <f t="shared" si="10"/>
        <v>110610.48478971326</v>
      </c>
      <c r="U29" s="2">
        <f t="shared" si="10"/>
        <v>110610.48478971326</v>
      </c>
      <c r="V29" s="2">
        <f t="shared" si="10"/>
        <v>110610.48478971326</v>
      </c>
      <c r="W29" s="2">
        <f t="shared" si="10"/>
        <v>110610.48478971326</v>
      </c>
      <c r="X29" s="2">
        <f t="shared" si="10"/>
        <v>110610.48478971326</v>
      </c>
      <c r="Y29" s="2">
        <f t="shared" si="10"/>
        <v>110610.48478971326</v>
      </c>
      <c r="Z29" s="2">
        <f t="shared" si="10"/>
        <v>110610.48478971326</v>
      </c>
      <c r="AA29" s="2">
        <f t="shared" ref="AA29:AE29" si="11">AA5+SUM(AA10:AA19)+AA25</f>
        <v>110610.48478971326</v>
      </c>
      <c r="AB29" s="2">
        <f t="shared" si="11"/>
        <v>110610.48478971326</v>
      </c>
      <c r="AC29" s="2">
        <f t="shared" si="11"/>
        <v>110610.48478971326</v>
      </c>
      <c r="AD29" s="2">
        <f t="shared" si="11"/>
        <v>110610.48478971326</v>
      </c>
      <c r="AE29" s="2">
        <f t="shared" si="11"/>
        <v>110610.48478971326</v>
      </c>
      <c r="AF29" s="2">
        <f>SUM(B29:Z29)</f>
        <v>2785883.2136854106</v>
      </c>
      <c r="AG29" s="7">
        <f t="shared" si="7"/>
        <v>111435.32854741643</v>
      </c>
    </row>
    <row r="30" spans="1:34" ht="13.8">
      <c r="A30" s="154" t="s">
        <v>109</v>
      </c>
      <c r="B30" s="2">
        <f>B29/B35</f>
        <v>87.487719154861168</v>
      </c>
      <c r="C30" s="2">
        <f t="shared" ref="C30:Z30" si="12">C29/C35</f>
        <v>73.740323193142174</v>
      </c>
      <c r="D30" s="2">
        <f t="shared" si="12"/>
        <v>73.740323193142174</v>
      </c>
      <c r="E30" s="2">
        <f t="shared" si="12"/>
        <v>73.740323193142174</v>
      </c>
      <c r="F30" s="2">
        <f t="shared" si="12"/>
        <v>73.740323193142174</v>
      </c>
      <c r="G30" s="2">
        <f t="shared" si="12"/>
        <v>73.740323193142174</v>
      </c>
      <c r="H30" s="2">
        <f t="shared" si="12"/>
        <v>73.740323193142174</v>
      </c>
      <c r="I30" s="2">
        <f t="shared" si="12"/>
        <v>73.740323193142174</v>
      </c>
      <c r="J30" s="2">
        <f t="shared" si="12"/>
        <v>73.740323193142174</v>
      </c>
      <c r="K30" s="2">
        <f t="shared" si="12"/>
        <v>73.740323193142174</v>
      </c>
      <c r="L30" s="2">
        <f t="shared" si="12"/>
        <v>73.740323193142174</v>
      </c>
      <c r="M30" s="2">
        <f t="shared" si="12"/>
        <v>73.740323193142174</v>
      </c>
      <c r="N30" s="2">
        <f t="shared" si="12"/>
        <v>73.740323193142174</v>
      </c>
      <c r="O30" s="2">
        <f t="shared" si="12"/>
        <v>73.740323193142174</v>
      </c>
      <c r="P30" s="2">
        <f t="shared" si="12"/>
        <v>73.740323193142174</v>
      </c>
      <c r="Q30" s="2">
        <f t="shared" si="12"/>
        <v>73.740323193142174</v>
      </c>
      <c r="R30" s="2">
        <f t="shared" si="12"/>
        <v>73.740323193142174</v>
      </c>
      <c r="S30" s="2">
        <f t="shared" si="12"/>
        <v>73.740323193142174</v>
      </c>
      <c r="T30" s="2">
        <f t="shared" si="12"/>
        <v>73.740323193142174</v>
      </c>
      <c r="U30" s="2">
        <f t="shared" si="12"/>
        <v>73.740323193142174</v>
      </c>
      <c r="V30" s="2">
        <f t="shared" si="12"/>
        <v>73.740323193142174</v>
      </c>
      <c r="W30" s="2">
        <f t="shared" si="12"/>
        <v>73.740323193142174</v>
      </c>
      <c r="X30" s="2">
        <f t="shared" si="12"/>
        <v>73.740323193142174</v>
      </c>
      <c r="Y30" s="2">
        <f t="shared" si="12"/>
        <v>73.740323193142174</v>
      </c>
      <c r="Z30" s="2">
        <f t="shared" si="12"/>
        <v>73.740323193142174</v>
      </c>
      <c r="AA30" s="2">
        <f t="shared" ref="AA30:AE30" si="13">AA29/AA35</f>
        <v>73.740323193142174</v>
      </c>
      <c r="AB30" s="2">
        <f t="shared" si="13"/>
        <v>73.740323193142174</v>
      </c>
      <c r="AC30" s="2">
        <f t="shared" si="13"/>
        <v>73.740323193142174</v>
      </c>
      <c r="AD30" s="2">
        <f t="shared" si="13"/>
        <v>73.740323193142174</v>
      </c>
      <c r="AE30" s="2">
        <f t="shared" si="13"/>
        <v>73.740323193142174</v>
      </c>
      <c r="AF30" s="2">
        <f>AF29/AF35</f>
        <v>74.290219031610945</v>
      </c>
      <c r="AG30" s="7">
        <f t="shared" si="7"/>
        <v>74.290219031610917</v>
      </c>
    </row>
    <row r="31" spans="1:34" ht="13.8">
      <c r="A31" s="154" t="s">
        <v>110</v>
      </c>
      <c r="B31" s="1">
        <v>0</v>
      </c>
      <c r="C31" s="2">
        <f>C27-C29</f>
        <v>23141.093942578504</v>
      </c>
      <c r="D31" s="2">
        <f t="shared" ref="D31:Z31" si="14">D27-D29</f>
        <v>23141.093942578504</v>
      </c>
      <c r="E31" s="2">
        <f t="shared" si="14"/>
        <v>23141.093942578504</v>
      </c>
      <c r="F31" s="2">
        <f t="shared" si="14"/>
        <v>23141.093942578504</v>
      </c>
      <c r="G31" s="2">
        <f t="shared" si="14"/>
        <v>23141.093942578504</v>
      </c>
      <c r="H31" s="2">
        <f t="shared" si="14"/>
        <v>23141.093942578504</v>
      </c>
      <c r="I31" s="2">
        <f t="shared" si="14"/>
        <v>23141.093942578504</v>
      </c>
      <c r="J31" s="2">
        <f t="shared" si="14"/>
        <v>23141.093942578504</v>
      </c>
      <c r="K31" s="2">
        <f t="shared" si="14"/>
        <v>23141.093942578504</v>
      </c>
      <c r="L31" s="2">
        <f t="shared" si="14"/>
        <v>23141.093942578504</v>
      </c>
      <c r="M31" s="2">
        <f t="shared" si="14"/>
        <v>23141.093942578504</v>
      </c>
      <c r="N31" s="2">
        <f t="shared" si="14"/>
        <v>23141.093942578504</v>
      </c>
      <c r="O31" s="2">
        <f t="shared" si="14"/>
        <v>23141.093942578504</v>
      </c>
      <c r="P31" s="2">
        <f t="shared" si="14"/>
        <v>23141.093942578504</v>
      </c>
      <c r="Q31" s="2">
        <f t="shared" si="14"/>
        <v>23141.093942578504</v>
      </c>
      <c r="R31" s="2">
        <f t="shared" si="14"/>
        <v>23141.093942578504</v>
      </c>
      <c r="S31" s="2">
        <f t="shared" si="14"/>
        <v>23141.093942578504</v>
      </c>
      <c r="T31" s="2">
        <f t="shared" si="14"/>
        <v>23141.093942578504</v>
      </c>
      <c r="U31" s="2">
        <f t="shared" si="14"/>
        <v>23141.093942578504</v>
      </c>
      <c r="V31" s="2">
        <f t="shared" si="14"/>
        <v>23141.093942578504</v>
      </c>
      <c r="W31" s="2">
        <f t="shared" si="14"/>
        <v>23141.093942578504</v>
      </c>
      <c r="X31" s="2">
        <f t="shared" si="14"/>
        <v>23141.093942578504</v>
      </c>
      <c r="Y31" s="2">
        <f t="shared" si="14"/>
        <v>23141.093942578504</v>
      </c>
      <c r="Z31" s="2">
        <f t="shared" si="14"/>
        <v>23141.093942578504</v>
      </c>
      <c r="AA31" s="2">
        <f t="shared" ref="AA31:AE31" si="15">AA27-AA29</f>
        <v>23141.093942578504</v>
      </c>
      <c r="AB31" s="2">
        <f t="shared" si="15"/>
        <v>23141.093942578504</v>
      </c>
      <c r="AC31" s="2">
        <f t="shared" si="15"/>
        <v>23141.093942578504</v>
      </c>
      <c r="AD31" s="2">
        <f t="shared" si="15"/>
        <v>23141.093942578504</v>
      </c>
      <c r="AE31" s="2">
        <f t="shared" si="15"/>
        <v>23141.093942578504</v>
      </c>
      <c r="AF31" s="2">
        <f>SUM(B31:Z31)</f>
        <v>555386.25462188444</v>
      </c>
      <c r="AG31" s="7">
        <f t="shared" si="7"/>
        <v>22215.450184875379</v>
      </c>
    </row>
    <row r="32" spans="1:34" ht="14.4" thickBot="1">
      <c r="A32" s="157" t="s">
        <v>111</v>
      </c>
      <c r="B32" s="9">
        <f>B31/B35</f>
        <v>0</v>
      </c>
      <c r="C32" s="9">
        <f>C31/C35</f>
        <v>15.427395961719002</v>
      </c>
      <c r="D32" s="9">
        <f t="shared" ref="D32:Z32" si="16">D31/D35</f>
        <v>15.427395961719002</v>
      </c>
      <c r="E32" s="9">
        <f t="shared" si="16"/>
        <v>15.427395961719002</v>
      </c>
      <c r="F32" s="9">
        <f t="shared" si="16"/>
        <v>15.427395961719002</v>
      </c>
      <c r="G32" s="9">
        <f t="shared" si="16"/>
        <v>15.427395961719002</v>
      </c>
      <c r="H32" s="9">
        <f t="shared" si="16"/>
        <v>15.427395961719002</v>
      </c>
      <c r="I32" s="9">
        <f t="shared" si="16"/>
        <v>15.427395961719002</v>
      </c>
      <c r="J32" s="9">
        <f t="shared" si="16"/>
        <v>15.427395961719002</v>
      </c>
      <c r="K32" s="9">
        <f t="shared" si="16"/>
        <v>15.427395961719002</v>
      </c>
      <c r="L32" s="9">
        <f t="shared" si="16"/>
        <v>15.427395961719002</v>
      </c>
      <c r="M32" s="9">
        <f t="shared" si="16"/>
        <v>15.427395961719002</v>
      </c>
      <c r="N32" s="9">
        <f t="shared" si="16"/>
        <v>15.427395961719002</v>
      </c>
      <c r="O32" s="9">
        <f t="shared" si="16"/>
        <v>15.427395961719002</v>
      </c>
      <c r="P32" s="9">
        <f t="shared" si="16"/>
        <v>15.427395961719002</v>
      </c>
      <c r="Q32" s="9">
        <f t="shared" si="16"/>
        <v>15.427395961719002</v>
      </c>
      <c r="R32" s="9">
        <f t="shared" si="16"/>
        <v>15.427395961719002</v>
      </c>
      <c r="S32" s="9">
        <f t="shared" si="16"/>
        <v>15.427395961719002</v>
      </c>
      <c r="T32" s="9">
        <f t="shared" si="16"/>
        <v>15.427395961719002</v>
      </c>
      <c r="U32" s="9">
        <f t="shared" si="16"/>
        <v>15.427395961719002</v>
      </c>
      <c r="V32" s="9">
        <f t="shared" si="16"/>
        <v>15.427395961719002</v>
      </c>
      <c r="W32" s="9">
        <f t="shared" si="16"/>
        <v>15.427395961719002</v>
      </c>
      <c r="X32" s="9">
        <f t="shared" si="16"/>
        <v>15.427395961719002</v>
      </c>
      <c r="Y32" s="9">
        <f t="shared" si="16"/>
        <v>15.427395961719002</v>
      </c>
      <c r="Z32" s="9">
        <f t="shared" si="16"/>
        <v>15.427395961719002</v>
      </c>
      <c r="AA32" s="9">
        <f t="shared" ref="AA32:AE32" si="17">AA31/AA35</f>
        <v>15.427395961719002</v>
      </c>
      <c r="AB32" s="9">
        <f t="shared" si="17"/>
        <v>15.427395961719002</v>
      </c>
      <c r="AC32" s="9">
        <f t="shared" si="17"/>
        <v>15.427395961719002</v>
      </c>
      <c r="AD32" s="9">
        <f t="shared" si="17"/>
        <v>15.427395961719002</v>
      </c>
      <c r="AE32" s="9">
        <f t="shared" si="17"/>
        <v>15.427395961719002</v>
      </c>
      <c r="AF32" s="9">
        <f>AF31/AF35</f>
        <v>14.810300123250252</v>
      </c>
      <c r="AG32" s="14">
        <f t="shared" si="7"/>
        <v>14.810300123250249</v>
      </c>
    </row>
    <row r="33" spans="1:34" ht="13.8">
      <c r="A33" s="360" t="s">
        <v>499</v>
      </c>
      <c r="B33" s="361">
        <f>SUM(B27:AG27)</f>
        <v>7490088.4090083363</v>
      </c>
      <c r="E33" s="21"/>
    </row>
    <row r="35" spans="1:34">
      <c r="A35" s="10" t="s">
        <v>112</v>
      </c>
      <c r="B35" s="3">
        <f>IOTable!D66</f>
        <v>1500</v>
      </c>
      <c r="C35" s="3">
        <f>IOTable!E66</f>
        <v>1500</v>
      </c>
      <c r="D35" s="3">
        <f>IOTable!F66</f>
        <v>1500</v>
      </c>
      <c r="E35" s="3">
        <f>IOTable!G66</f>
        <v>1500</v>
      </c>
      <c r="F35" s="3">
        <f>IOTable!H66</f>
        <v>1500</v>
      </c>
      <c r="G35" s="3">
        <f>IOTable!I66</f>
        <v>1500</v>
      </c>
      <c r="H35" s="3">
        <f>IOTable!J66</f>
        <v>1500</v>
      </c>
      <c r="I35" s="3">
        <f>IOTable!K66</f>
        <v>1500</v>
      </c>
      <c r="J35" s="3">
        <f>IOTable!L66</f>
        <v>1500</v>
      </c>
      <c r="K35" s="3">
        <f>IOTable!M66</f>
        <v>1500</v>
      </c>
      <c r="L35" s="3">
        <f>IOTable!N66</f>
        <v>1500</v>
      </c>
      <c r="M35" s="3">
        <f>IOTable!O66</f>
        <v>1500</v>
      </c>
      <c r="N35" s="3">
        <f>IOTable!P66</f>
        <v>1500</v>
      </c>
      <c r="O35" s="3">
        <f>IOTable!Q66</f>
        <v>1500</v>
      </c>
      <c r="P35" s="3">
        <f>IOTable!R66</f>
        <v>1500</v>
      </c>
      <c r="Q35" s="3">
        <f>IOTable!S66</f>
        <v>1500</v>
      </c>
      <c r="R35" s="3">
        <f>IOTable!T66</f>
        <v>1500</v>
      </c>
      <c r="S35" s="3">
        <f>IOTable!U66</f>
        <v>1500</v>
      </c>
      <c r="T35" s="3">
        <f>IOTable!V66</f>
        <v>1500</v>
      </c>
      <c r="U35" s="3">
        <f>IOTable!W66</f>
        <v>1500</v>
      </c>
      <c r="V35" s="3">
        <f>IOTable!X66</f>
        <v>1500</v>
      </c>
      <c r="W35" s="3">
        <f>IOTable!Y66</f>
        <v>1500</v>
      </c>
      <c r="X35" s="3">
        <f>IOTable!Z66</f>
        <v>1500</v>
      </c>
      <c r="Y35" s="3">
        <f>IOTable!AA66</f>
        <v>1500</v>
      </c>
      <c r="Z35" s="3">
        <f>IOTable!AB66</f>
        <v>1500</v>
      </c>
      <c r="AA35" s="3">
        <f>IOTable!AC66</f>
        <v>1500</v>
      </c>
      <c r="AB35" s="3">
        <f>IOTable!AD66</f>
        <v>1500</v>
      </c>
      <c r="AC35" s="3">
        <f>IOTable!AE66</f>
        <v>1500</v>
      </c>
      <c r="AD35" s="3">
        <f>IOTable!AF66</f>
        <v>1500</v>
      </c>
      <c r="AE35" s="3">
        <f>IOTable!AG66</f>
        <v>1500</v>
      </c>
      <c r="AF35" s="11">
        <f>SUM(B35:Z35)</f>
        <v>37500</v>
      </c>
      <c r="AG35" s="11"/>
      <c r="AH35" s="11"/>
    </row>
    <row r="36" spans="1:34">
      <c r="A36" s="12" t="s">
        <v>113</v>
      </c>
      <c r="B36" s="3">
        <f>IOTable!D72</f>
        <v>27000</v>
      </c>
      <c r="C36" s="3">
        <f>IOTable!E72</f>
        <v>27000</v>
      </c>
      <c r="D36" s="3">
        <f>IOTable!F72</f>
        <v>27000</v>
      </c>
      <c r="E36" s="3">
        <f>IOTable!G72</f>
        <v>27000</v>
      </c>
      <c r="F36" s="3">
        <f>IOTable!H72</f>
        <v>27000</v>
      </c>
      <c r="G36" s="3">
        <f>IOTable!I72</f>
        <v>27000</v>
      </c>
      <c r="H36" s="3">
        <f>IOTable!J72</f>
        <v>27000</v>
      </c>
      <c r="I36" s="3">
        <f>IOTable!K72</f>
        <v>27000</v>
      </c>
      <c r="J36" s="3">
        <f>IOTable!L72</f>
        <v>27000</v>
      </c>
      <c r="K36" s="3">
        <f>IOTable!M72</f>
        <v>27000</v>
      </c>
      <c r="L36" s="3">
        <f>IOTable!N72</f>
        <v>27000</v>
      </c>
      <c r="M36" s="3">
        <f>IOTable!O72</f>
        <v>27000</v>
      </c>
      <c r="N36" s="3">
        <f>IOTable!P72</f>
        <v>27000</v>
      </c>
      <c r="O36" s="3">
        <f>IOTable!Q72</f>
        <v>27000</v>
      </c>
      <c r="P36" s="3">
        <f>IOTable!R72</f>
        <v>27000</v>
      </c>
      <c r="Q36" s="3">
        <f>IOTable!S72</f>
        <v>27000</v>
      </c>
      <c r="R36" s="3">
        <f>IOTable!T72</f>
        <v>27000</v>
      </c>
      <c r="S36" s="3">
        <f>IOTable!U72</f>
        <v>27000</v>
      </c>
      <c r="T36" s="3">
        <f>IOTable!V72</f>
        <v>27000</v>
      </c>
      <c r="U36" s="3">
        <f>IOTable!W72</f>
        <v>27000</v>
      </c>
      <c r="V36" s="3">
        <f>IOTable!X72</f>
        <v>27000</v>
      </c>
      <c r="W36" s="3">
        <f>IOTable!Y72</f>
        <v>27000</v>
      </c>
      <c r="X36" s="3">
        <f>IOTable!Z72</f>
        <v>27000</v>
      </c>
      <c r="Y36" s="3">
        <f>IOTable!AA72</f>
        <v>27000</v>
      </c>
      <c r="Z36" s="3">
        <f>IOTable!AB72</f>
        <v>27000</v>
      </c>
      <c r="AA36" s="3">
        <f>IOTable!AC72</f>
        <v>27000</v>
      </c>
      <c r="AB36" s="3">
        <f>IOTable!AD72</f>
        <v>27000</v>
      </c>
      <c r="AC36" s="3">
        <f>IOTable!AE72</f>
        <v>27000</v>
      </c>
      <c r="AD36" s="3">
        <f>IOTable!AF72</f>
        <v>27000</v>
      </c>
      <c r="AE36" s="3">
        <f>IOTable!AG72</f>
        <v>27000</v>
      </c>
      <c r="AF36" s="11"/>
      <c r="AG36" s="11"/>
      <c r="AH36" s="11"/>
    </row>
    <row r="37" spans="1:34">
      <c r="AG37" s="21"/>
    </row>
    <row r="38" spans="1:34">
      <c r="B38" s="13"/>
    </row>
    <row r="41" spans="1:34">
      <c r="A41" s="107" t="s">
        <v>338</v>
      </c>
      <c r="B41" s="107" t="s">
        <v>345</v>
      </c>
      <c r="C41" s="107" t="s">
        <v>346</v>
      </c>
      <c r="F41" s="143" t="s">
        <v>399</v>
      </c>
    </row>
    <row r="42" spans="1:34">
      <c r="A42" s="68" t="s">
        <v>339</v>
      </c>
      <c r="B42" s="8">
        <v>6</v>
      </c>
      <c r="C42" s="8"/>
      <c r="F42" s="106" t="s">
        <v>349</v>
      </c>
      <c r="G42">
        <f>SUM(B42:B43)</f>
        <v>16</v>
      </c>
    </row>
    <row r="43" spans="1:34">
      <c r="A43" s="69" t="s">
        <v>340</v>
      </c>
      <c r="B43" s="70">
        <v>10</v>
      </c>
      <c r="C43" s="70"/>
      <c r="D43" s="68"/>
      <c r="F43" s="67" t="s">
        <v>236</v>
      </c>
      <c r="G43">
        <f>C98</f>
        <v>57</v>
      </c>
    </row>
    <row r="44" spans="1:34">
      <c r="A44" s="67" t="s">
        <v>341</v>
      </c>
      <c r="B44" s="67">
        <v>12</v>
      </c>
      <c r="F44" s="67" t="s">
        <v>235</v>
      </c>
      <c r="G44">
        <f>B73</f>
        <v>86</v>
      </c>
    </row>
    <row r="45" spans="1:34">
      <c r="A45" s="67" t="s">
        <v>342</v>
      </c>
      <c r="B45" s="67">
        <v>50</v>
      </c>
      <c r="G45">
        <f>SUM(G42:G44)</f>
        <v>159</v>
      </c>
    </row>
    <row r="46" spans="1:34">
      <c r="A46" s="67" t="s">
        <v>343</v>
      </c>
      <c r="B46" s="67">
        <v>4</v>
      </c>
      <c r="F46" s="67" t="s">
        <v>437</v>
      </c>
    </row>
    <row r="47" spans="1:34">
      <c r="A47" s="67" t="s">
        <v>344</v>
      </c>
      <c r="B47" s="67">
        <v>24</v>
      </c>
      <c r="C47">
        <v>178</v>
      </c>
      <c r="F47" s="67" t="s">
        <v>435</v>
      </c>
      <c r="G47">
        <f>B49</f>
        <v>3</v>
      </c>
    </row>
    <row r="48" spans="1:34">
      <c r="A48" s="67" t="s">
        <v>347</v>
      </c>
      <c r="B48" s="67">
        <v>8</v>
      </c>
      <c r="F48" s="67" t="s">
        <v>18</v>
      </c>
      <c r="G48">
        <f>C97</f>
        <v>7</v>
      </c>
      <c r="H48" s="67" t="s">
        <v>436</v>
      </c>
    </row>
    <row r="49" spans="1:7">
      <c r="A49" s="67" t="s">
        <v>348</v>
      </c>
      <c r="B49" s="69">
        <v>3</v>
      </c>
      <c r="C49" s="70"/>
      <c r="F49" s="67" t="s">
        <v>443</v>
      </c>
      <c r="G49">
        <v>5</v>
      </c>
    </row>
    <row r="50" spans="1:7">
      <c r="B50">
        <f>SUM(B42:B49)</f>
        <v>117</v>
      </c>
      <c r="C50">
        <f>SUM(C42:C49)</f>
        <v>178</v>
      </c>
    </row>
    <row r="52" spans="1:7">
      <c r="A52" s="67" t="s">
        <v>364</v>
      </c>
      <c r="B52" s="449" t="s">
        <v>257</v>
      </c>
      <c r="C52" s="449"/>
      <c r="D52" s="105"/>
    </row>
    <row r="53" spans="1:7">
      <c r="A53" s="67" t="s">
        <v>365</v>
      </c>
    </row>
    <row r="54" spans="1:7">
      <c r="A54" s="104" t="s">
        <v>366</v>
      </c>
      <c r="B54">
        <v>19</v>
      </c>
      <c r="C54">
        <v>6</v>
      </c>
    </row>
    <row r="55" spans="1:7">
      <c r="A55" s="104" t="s">
        <v>367</v>
      </c>
      <c r="B55">
        <v>2</v>
      </c>
    </row>
    <row r="56" spans="1:7">
      <c r="A56" s="104" t="s">
        <v>368</v>
      </c>
      <c r="B56">
        <v>7</v>
      </c>
    </row>
    <row r="57" spans="1:7">
      <c r="A57" s="104" t="s">
        <v>369</v>
      </c>
      <c r="B57">
        <v>6</v>
      </c>
    </row>
    <row r="58" spans="1:7">
      <c r="A58" s="104" t="s">
        <v>9</v>
      </c>
      <c r="B58">
        <v>4</v>
      </c>
    </row>
    <row r="59" spans="1:7">
      <c r="A59" s="104" t="s">
        <v>370</v>
      </c>
      <c r="B59">
        <v>4</v>
      </c>
    </row>
    <row r="60" spans="1:7">
      <c r="A60" s="104" t="s">
        <v>371</v>
      </c>
      <c r="B60">
        <v>19</v>
      </c>
    </row>
    <row r="61" spans="1:7">
      <c r="A61" s="104" t="s">
        <v>372</v>
      </c>
      <c r="B61">
        <v>10</v>
      </c>
    </row>
    <row r="62" spans="1:7">
      <c r="A62" s="104" t="s">
        <v>373</v>
      </c>
      <c r="B62">
        <v>8</v>
      </c>
    </row>
    <row r="64" spans="1:7">
      <c r="A64" s="67" t="s">
        <v>374</v>
      </c>
    </row>
    <row r="65" spans="1:4">
      <c r="A65" s="104" t="s">
        <v>375</v>
      </c>
      <c r="B65">
        <v>3</v>
      </c>
    </row>
    <row r="66" spans="1:4">
      <c r="A66" s="104" t="s">
        <v>376</v>
      </c>
      <c r="B66">
        <v>3</v>
      </c>
    </row>
    <row r="67" spans="1:4">
      <c r="A67" s="104" t="s">
        <v>377</v>
      </c>
      <c r="B67">
        <v>6</v>
      </c>
    </row>
    <row r="68" spans="1:4">
      <c r="A68" s="22"/>
    </row>
    <row r="69" spans="1:4">
      <c r="B69">
        <f>SUM(B54:B67)</f>
        <v>91</v>
      </c>
    </row>
    <row r="71" spans="1:4">
      <c r="A71" s="107" t="s">
        <v>378</v>
      </c>
      <c r="B71" s="107"/>
      <c r="C71" s="107"/>
      <c r="D71" s="107"/>
    </row>
    <row r="72" spans="1:4">
      <c r="A72" s="104" t="s">
        <v>379</v>
      </c>
      <c r="B72">
        <v>52</v>
      </c>
    </row>
    <row r="73" spans="1:4">
      <c r="A73" s="104" t="s">
        <v>380</v>
      </c>
      <c r="B73" s="70">
        <v>86</v>
      </c>
    </row>
    <row r="74" spans="1:4">
      <c r="A74" s="104"/>
      <c r="B74">
        <f>SUM(B72:B73)</f>
        <v>138</v>
      </c>
    </row>
    <row r="75" spans="1:4">
      <c r="A75" s="104"/>
    </row>
    <row r="76" spans="1:4">
      <c r="A76" s="67" t="s">
        <v>381</v>
      </c>
    </row>
    <row r="77" spans="1:4">
      <c r="A77" s="104" t="s">
        <v>350</v>
      </c>
      <c r="B77">
        <v>128</v>
      </c>
    </row>
    <row r="78" spans="1:4">
      <c r="A78" s="104" t="s">
        <v>371</v>
      </c>
      <c r="B78">
        <v>6</v>
      </c>
    </row>
    <row r="79" spans="1:4">
      <c r="A79" s="104" t="s">
        <v>382</v>
      </c>
      <c r="B79">
        <v>2</v>
      </c>
    </row>
    <row r="80" spans="1:4">
      <c r="A80" s="104" t="s">
        <v>19</v>
      </c>
      <c r="B80" s="70">
        <v>2</v>
      </c>
    </row>
    <row r="81" spans="1:3">
      <c r="B81">
        <f>SUM(B77:B80)</f>
        <v>138</v>
      </c>
    </row>
    <row r="83" spans="1:3">
      <c r="A83" s="108" t="s">
        <v>266</v>
      </c>
      <c r="B83" s="67" t="s">
        <v>397</v>
      </c>
      <c r="C83" s="67" t="s">
        <v>398</v>
      </c>
    </row>
    <row r="84" spans="1:3">
      <c r="A84" s="67" t="s">
        <v>383</v>
      </c>
      <c r="B84">
        <v>3</v>
      </c>
      <c r="C84">
        <v>11</v>
      </c>
    </row>
    <row r="85" spans="1:3">
      <c r="A85" s="67" t="s">
        <v>384</v>
      </c>
      <c r="B85">
        <v>6</v>
      </c>
      <c r="C85">
        <v>6</v>
      </c>
    </row>
    <row r="86" spans="1:3">
      <c r="A86" s="67" t="s">
        <v>385</v>
      </c>
      <c r="B86">
        <v>6</v>
      </c>
      <c r="C86">
        <v>2</v>
      </c>
    </row>
    <row r="87" spans="1:3">
      <c r="A87" s="67" t="s">
        <v>386</v>
      </c>
      <c r="B87">
        <v>3</v>
      </c>
      <c r="C87">
        <v>3</v>
      </c>
    </row>
    <row r="88" spans="1:3">
      <c r="A88" s="67" t="s">
        <v>387</v>
      </c>
      <c r="B88">
        <v>3</v>
      </c>
      <c r="C88">
        <v>2</v>
      </c>
    </row>
    <row r="89" spans="1:3">
      <c r="A89" s="67" t="s">
        <v>388</v>
      </c>
      <c r="B89">
        <v>6</v>
      </c>
      <c r="C89">
        <v>5</v>
      </c>
    </row>
    <row r="90" spans="1:3">
      <c r="A90" s="67" t="s">
        <v>389</v>
      </c>
      <c r="B90">
        <v>4</v>
      </c>
      <c r="C90">
        <v>5</v>
      </c>
    </row>
    <row r="91" spans="1:3">
      <c r="A91" s="67" t="s">
        <v>390</v>
      </c>
      <c r="B91">
        <v>6</v>
      </c>
      <c r="C91">
        <v>3</v>
      </c>
    </row>
    <row r="92" spans="1:3">
      <c r="A92" s="67" t="s">
        <v>391</v>
      </c>
      <c r="B92">
        <v>8</v>
      </c>
      <c r="C92">
        <v>4</v>
      </c>
    </row>
    <row r="93" spans="1:3">
      <c r="A93" s="67" t="s">
        <v>392</v>
      </c>
      <c r="B93">
        <v>4</v>
      </c>
      <c r="C93">
        <v>4</v>
      </c>
    </row>
    <row r="94" spans="1:3">
      <c r="A94" s="67" t="s">
        <v>393</v>
      </c>
      <c r="B94">
        <v>2</v>
      </c>
      <c r="C94">
        <v>2</v>
      </c>
    </row>
    <row r="95" spans="1:3">
      <c r="A95" s="67" t="s">
        <v>394</v>
      </c>
      <c r="B95">
        <v>2</v>
      </c>
      <c r="C95">
        <v>2</v>
      </c>
    </row>
    <row r="96" spans="1:3">
      <c r="A96" s="67" t="s">
        <v>395</v>
      </c>
      <c r="B96">
        <v>2</v>
      </c>
      <c r="C96">
        <v>1</v>
      </c>
    </row>
    <row r="97" spans="1:3">
      <c r="A97" s="67" t="s">
        <v>396</v>
      </c>
      <c r="B97" s="70">
        <v>15</v>
      </c>
      <c r="C97" s="70">
        <v>7</v>
      </c>
    </row>
    <row r="98" spans="1:3">
      <c r="B98">
        <f>SUM(B84:B97)</f>
        <v>70</v>
      </c>
      <c r="C98">
        <f>SUM(C84:C97)</f>
        <v>57</v>
      </c>
    </row>
  </sheetData>
  <mergeCells count="1">
    <mergeCell ref="B52:C52"/>
  </mergeCells>
  <phoneticPr fontId="5" type="noConversion"/>
  <pageMargins left="0.75" right="0.75" top="1" bottom="1" header="0.5" footer="0.5"/>
  <pageSetup paperSize="9" scale="120" orientation="portrait" r:id="rId1"/>
  <headerFooter alignWithMargins="0">
    <oddHeader>&amp;Rpage&amp;P of &amp;N</oddHeader>
    <oddFooter>&amp;L&amp;D
&amp;T&amp;R&amp;F\&amp;A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dimension ref="A2:J43"/>
  <sheetViews>
    <sheetView workbookViewId="0">
      <selection activeCell="C5" sqref="C5"/>
    </sheetView>
  </sheetViews>
  <sheetFormatPr defaultColWidth="9.109375" defaultRowHeight="13.2"/>
  <cols>
    <col min="1" max="1" width="40.109375" style="24" bestFit="1" customWidth="1"/>
    <col min="2" max="2" width="2.44140625" style="24" customWidth="1"/>
    <col min="3" max="3" width="11.109375" style="24" bestFit="1" customWidth="1"/>
    <col min="4" max="4" width="12.44140625" style="24" customWidth="1"/>
    <col min="5" max="5" width="10.88671875" style="24" bestFit="1" customWidth="1"/>
    <col min="6" max="6" width="14" style="24" customWidth="1"/>
    <col min="7" max="7" width="14.44140625" style="24" bestFit="1" customWidth="1"/>
    <col min="8" max="8" width="15.109375" style="24" bestFit="1" customWidth="1"/>
    <col min="9" max="9" width="12.6640625" style="24" customWidth="1"/>
    <col min="10" max="10" width="11.6640625" style="24" customWidth="1"/>
    <col min="11" max="11" width="9.109375" style="24"/>
    <col min="12" max="12" width="9.88671875" style="24" customWidth="1"/>
    <col min="13" max="16384" width="9.109375" style="24"/>
  </cols>
  <sheetData>
    <row r="2" spans="1:10">
      <c r="J2" s="24" t="s">
        <v>0</v>
      </c>
    </row>
    <row r="3" spans="1:10" ht="17.399999999999999">
      <c r="A3" s="32" t="s">
        <v>307</v>
      </c>
    </row>
    <row r="4" spans="1:10" s="30" customFormat="1">
      <c r="C4" s="30" t="s">
        <v>32</v>
      </c>
      <c r="D4" s="30" t="s">
        <v>6</v>
      </c>
      <c r="E4" s="30" t="s">
        <v>7</v>
      </c>
      <c r="F4" s="30" t="s">
        <v>306</v>
      </c>
      <c r="G4" s="31" t="s">
        <v>196</v>
      </c>
      <c r="H4" s="31" t="s">
        <v>305</v>
      </c>
      <c r="I4" s="31" t="s">
        <v>5</v>
      </c>
    </row>
    <row r="5" spans="1:10">
      <c r="A5" s="24" t="s">
        <v>304</v>
      </c>
      <c r="C5" s="26">
        <v>182</v>
      </c>
      <c r="D5" s="26">
        <v>2200</v>
      </c>
      <c r="E5" s="26">
        <v>2000</v>
      </c>
      <c r="F5" s="56"/>
      <c r="G5" s="26"/>
      <c r="H5" s="56"/>
      <c r="I5" s="26"/>
    </row>
    <row r="6" spans="1:10">
      <c r="A6" s="24" t="s">
        <v>303</v>
      </c>
      <c r="C6" s="26">
        <v>10.039999999999999</v>
      </c>
      <c r="D6" s="26">
        <v>10.039999999999999</v>
      </c>
      <c r="E6" s="26">
        <v>10.039999999999999</v>
      </c>
      <c r="F6" s="26"/>
      <c r="G6" s="26"/>
      <c r="H6" s="26"/>
      <c r="I6" s="26"/>
    </row>
    <row r="7" spans="1:10">
      <c r="A7" s="24" t="s">
        <v>302</v>
      </c>
      <c r="C7" s="25">
        <f>C5+C6</f>
        <v>192.04</v>
      </c>
      <c r="D7" s="25">
        <f>D5+D6</f>
        <v>2210.04</v>
      </c>
      <c r="E7" s="25">
        <f>E5+E6</f>
        <v>2010.04</v>
      </c>
      <c r="F7" s="26">
        <f>'Price Table'!E10/2400</f>
        <v>296727.46041666664</v>
      </c>
      <c r="G7" s="25">
        <f>'Price Table'!E11/2400</f>
        <v>15391.774166666666</v>
      </c>
      <c r="H7" s="26">
        <f>'Price Table'!E14/2400</f>
        <v>12691782.770833334</v>
      </c>
      <c r="I7" s="26">
        <f>'Price Table'!E15/2400</f>
        <v>145625.5</v>
      </c>
    </row>
    <row r="8" spans="1:10">
      <c r="A8" s="24" t="s">
        <v>287</v>
      </c>
      <c r="C8" s="25">
        <f>Summary!$D$7</f>
        <v>10337</v>
      </c>
      <c r="D8" s="25">
        <f>Summary!$D$7</f>
        <v>10337</v>
      </c>
      <c r="E8" s="25">
        <f>Summary!$D$7</f>
        <v>10337</v>
      </c>
      <c r="F8" s="25">
        <f>Summary!$D$7</f>
        <v>10337</v>
      </c>
      <c r="G8" s="25">
        <f>Summary!$D$7</f>
        <v>10337</v>
      </c>
      <c r="H8" s="25">
        <f>Summary!$D$7</f>
        <v>10337</v>
      </c>
      <c r="I8" s="25">
        <f>Summary!$D$7</f>
        <v>10337</v>
      </c>
    </row>
    <row r="9" spans="1:10">
      <c r="A9" s="24" t="s">
        <v>301</v>
      </c>
      <c r="C9" s="25">
        <f>Summary!$D$73</f>
        <v>0</v>
      </c>
      <c r="D9" s="25">
        <f>Summary!$D$73</f>
        <v>0</v>
      </c>
      <c r="E9" s="25">
        <f>Summary!$D$73</f>
        <v>0</v>
      </c>
      <c r="F9" s="25">
        <f>Summary!$D$73</f>
        <v>0</v>
      </c>
      <c r="G9" s="25">
        <f>Summary!$D$73</f>
        <v>0</v>
      </c>
      <c r="H9" s="25">
        <f>Summary!$D$73</f>
        <v>0</v>
      </c>
      <c r="I9" s="25">
        <f>Summary!$D$73</f>
        <v>0</v>
      </c>
    </row>
    <row r="10" spans="1:10">
      <c r="A10" s="24" t="s">
        <v>300</v>
      </c>
      <c r="C10" s="25">
        <f t="shared" ref="C10:I10" si="0">C8*(1+C9)</f>
        <v>10337</v>
      </c>
      <c r="D10" s="25">
        <f t="shared" si="0"/>
        <v>10337</v>
      </c>
      <c r="E10" s="25">
        <f t="shared" si="0"/>
        <v>10337</v>
      </c>
      <c r="F10" s="25">
        <f t="shared" si="0"/>
        <v>10337</v>
      </c>
      <c r="G10" s="25">
        <f t="shared" si="0"/>
        <v>10337</v>
      </c>
      <c r="H10" s="25">
        <f t="shared" si="0"/>
        <v>10337</v>
      </c>
      <c r="I10" s="25">
        <f t="shared" si="0"/>
        <v>10337</v>
      </c>
    </row>
    <row r="11" spans="1:10">
      <c r="A11" s="24" t="s">
        <v>299</v>
      </c>
      <c r="C11" s="25">
        <f t="shared" ref="C11:I11" si="1">C7*C10</f>
        <v>1985117.48</v>
      </c>
      <c r="D11" s="25">
        <f t="shared" si="1"/>
        <v>22845183.48</v>
      </c>
      <c r="E11" s="25">
        <f t="shared" si="1"/>
        <v>20777783.48</v>
      </c>
      <c r="F11" s="25">
        <f t="shared" si="1"/>
        <v>3067271758.3270831</v>
      </c>
      <c r="G11" s="25">
        <f t="shared" si="1"/>
        <v>159104769.56083333</v>
      </c>
      <c r="H11" s="25">
        <f t="shared" si="1"/>
        <v>131194958502.10417</v>
      </c>
      <c r="I11" s="25">
        <f t="shared" si="1"/>
        <v>1505330793.5</v>
      </c>
    </row>
    <row r="12" spans="1:10">
      <c r="A12" s="24" t="s">
        <v>298</v>
      </c>
      <c r="C12" s="25" t="s">
        <v>0</v>
      </c>
      <c r="D12" s="25"/>
      <c r="E12" s="25"/>
      <c r="F12" s="25">
        <v>0.1</v>
      </c>
      <c r="G12" s="25">
        <v>0.1</v>
      </c>
      <c r="H12" s="25">
        <v>0.1</v>
      </c>
      <c r="I12" s="25">
        <v>0.1</v>
      </c>
    </row>
    <row r="13" spans="1:10">
      <c r="A13" s="24" t="s">
        <v>297</v>
      </c>
      <c r="C13" s="27">
        <v>5</v>
      </c>
      <c r="D13" s="27">
        <v>5</v>
      </c>
      <c r="E13" s="27">
        <v>5</v>
      </c>
      <c r="F13" s="27">
        <v>0</v>
      </c>
      <c r="G13" s="27">
        <v>0</v>
      </c>
      <c r="H13" s="27">
        <v>0</v>
      </c>
      <c r="I13" s="27">
        <v>0</v>
      </c>
    </row>
    <row r="14" spans="1:10">
      <c r="A14" s="24" t="s">
        <v>296</v>
      </c>
      <c r="C14" s="27">
        <v>7</v>
      </c>
      <c r="D14" s="27">
        <v>7</v>
      </c>
      <c r="E14" s="27">
        <v>7</v>
      </c>
      <c r="F14" s="27">
        <v>0</v>
      </c>
      <c r="G14" s="27">
        <v>0</v>
      </c>
      <c r="H14" s="27">
        <v>0</v>
      </c>
      <c r="I14" s="27">
        <v>0</v>
      </c>
    </row>
    <row r="15" spans="1:10">
      <c r="A15" s="24" t="s">
        <v>295</v>
      </c>
      <c r="C15" s="25">
        <f>(C11/1000)+(C13)+(C14)</f>
        <v>1997.1174799999999</v>
      </c>
      <c r="D15" s="25">
        <f>(D11/1000)+(D13)+(D14)</f>
        <v>22857.18348</v>
      </c>
      <c r="E15" s="25">
        <f>(E11/1000)+(E13)+(E14)</f>
        <v>20789.783480000002</v>
      </c>
      <c r="F15" s="25">
        <f>F11-(F11*F12)+F13+F14</f>
        <v>2760544582.4943748</v>
      </c>
      <c r="G15" s="25">
        <f>G11-(G11*G12)+G13+G14</f>
        <v>143194292.60475001</v>
      </c>
      <c r="H15" s="25">
        <f>H11-(H11*H12)+H13+H14</f>
        <v>118075462651.89375</v>
      </c>
      <c r="I15" s="25">
        <f>I11-(I11*I12)+I13+I14</f>
        <v>1354797714.1500001</v>
      </c>
    </row>
    <row r="16" spans="1:10">
      <c r="A16" s="24" t="s">
        <v>294</v>
      </c>
      <c r="C16" s="25">
        <v>1</v>
      </c>
      <c r="D16" s="25">
        <v>1</v>
      </c>
      <c r="E16" s="25">
        <v>1</v>
      </c>
      <c r="F16" s="25">
        <v>1</v>
      </c>
      <c r="G16" s="25">
        <v>1</v>
      </c>
      <c r="H16" s="25">
        <v>1</v>
      </c>
      <c r="I16" s="25">
        <v>1</v>
      </c>
    </row>
    <row r="17" spans="1:9">
      <c r="A17" s="24" t="s">
        <v>293</v>
      </c>
      <c r="C17" s="25">
        <f t="shared" ref="C17:I17" si="2">C15*C16</f>
        <v>1997.1174799999999</v>
      </c>
      <c r="D17" s="25">
        <f t="shared" si="2"/>
        <v>22857.18348</v>
      </c>
      <c r="E17" s="25">
        <f t="shared" si="2"/>
        <v>20789.783480000002</v>
      </c>
      <c r="F17" s="25">
        <f t="shared" si="2"/>
        <v>2760544582.4943748</v>
      </c>
      <c r="G17" s="25">
        <f t="shared" si="2"/>
        <v>143194292.60475001</v>
      </c>
      <c r="H17" s="25">
        <f t="shared" si="2"/>
        <v>118075462651.89375</v>
      </c>
      <c r="I17" s="25">
        <f t="shared" si="2"/>
        <v>1354797714.1500001</v>
      </c>
    </row>
    <row r="18" spans="1:9">
      <c r="A18" s="24" t="s">
        <v>292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</row>
    <row r="19" spans="1:9">
      <c r="A19" s="24" t="s">
        <v>291</v>
      </c>
      <c r="C19" s="26">
        <v>5</v>
      </c>
      <c r="D19" s="26">
        <v>5</v>
      </c>
      <c r="E19" s="26">
        <v>5</v>
      </c>
      <c r="F19" s="26">
        <v>5</v>
      </c>
      <c r="G19" s="26">
        <v>5</v>
      </c>
      <c r="H19" s="26">
        <v>5</v>
      </c>
      <c r="I19" s="26">
        <v>5</v>
      </c>
    </row>
    <row r="20" spans="1:9">
      <c r="A20" s="24" t="s">
        <v>290</v>
      </c>
      <c r="C20" s="25">
        <f t="shared" ref="C20:I20" si="3">C17+C18+C19</f>
        <v>2002.1174799999999</v>
      </c>
      <c r="D20" s="25">
        <f t="shared" si="3"/>
        <v>22862.18348</v>
      </c>
      <c r="E20" s="25">
        <f t="shared" si="3"/>
        <v>20794.783480000002</v>
      </c>
      <c r="F20" s="25">
        <f t="shared" si="3"/>
        <v>2760544587.4943748</v>
      </c>
      <c r="G20" s="25">
        <f t="shared" si="3"/>
        <v>143194297.60475001</v>
      </c>
      <c r="H20" s="25">
        <f t="shared" si="3"/>
        <v>118075462656.89375</v>
      </c>
      <c r="I20" s="25">
        <f t="shared" si="3"/>
        <v>1354797719.1500001</v>
      </c>
    </row>
    <row r="21" spans="1:9">
      <c r="C21" s="29"/>
      <c r="D21" s="29"/>
      <c r="E21" s="29"/>
      <c r="F21" s="29"/>
      <c r="G21" s="29"/>
      <c r="H21" s="29"/>
      <c r="I21" s="29"/>
    </row>
    <row r="22" spans="1:9">
      <c r="C22" s="29"/>
      <c r="D22" s="29"/>
      <c r="E22" s="29"/>
      <c r="F22" s="29"/>
      <c r="G22" s="29"/>
      <c r="H22" s="29"/>
      <c r="I22" s="29"/>
    </row>
    <row r="23" spans="1:9">
      <c r="C23" s="29"/>
      <c r="D23" s="29"/>
      <c r="E23" s="29"/>
      <c r="F23" s="29"/>
      <c r="G23" s="29"/>
      <c r="H23" s="29"/>
      <c r="I23" s="29"/>
    </row>
    <row r="24" spans="1:9">
      <c r="C24" s="29"/>
      <c r="D24" s="29"/>
      <c r="E24" s="29"/>
      <c r="F24" s="29"/>
      <c r="G24" s="29"/>
      <c r="H24" s="29"/>
      <c r="I24" s="29"/>
    </row>
    <row r="25" spans="1:9">
      <c r="E25" s="23"/>
    </row>
    <row r="26" spans="1:9">
      <c r="E26" s="23"/>
    </row>
    <row r="27" spans="1:9">
      <c r="E27" s="23"/>
    </row>
    <row r="28" spans="1:9">
      <c r="E28" s="23"/>
    </row>
    <row r="29" spans="1:9">
      <c r="E29" s="23"/>
    </row>
    <row r="30" spans="1:9">
      <c r="E30" s="23"/>
    </row>
    <row r="31" spans="1:9">
      <c r="E31" s="28"/>
    </row>
    <row r="32" spans="1:9">
      <c r="E32" s="23"/>
    </row>
    <row r="33" spans="3:5">
      <c r="E33" s="23"/>
    </row>
    <row r="34" spans="3:5">
      <c r="E34" s="23"/>
    </row>
    <row r="35" spans="3:5">
      <c r="E35" s="23"/>
    </row>
    <row r="36" spans="3:5">
      <c r="E36" s="23"/>
    </row>
    <row r="37" spans="3:5">
      <c r="E37" s="23"/>
    </row>
    <row r="38" spans="3:5">
      <c r="E38" s="23"/>
    </row>
    <row r="39" spans="3:5">
      <c r="E39" s="23"/>
    </row>
    <row r="40" spans="3:5">
      <c r="E40" s="23"/>
    </row>
    <row r="41" spans="3:5">
      <c r="E41" s="23"/>
    </row>
    <row r="42" spans="3:5">
      <c r="E42" s="23"/>
    </row>
    <row r="43" spans="3:5">
      <c r="C43" s="23"/>
      <c r="D43" s="23"/>
      <c r="E43" s="23"/>
    </row>
  </sheetData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dimension ref="A1:B9"/>
  <sheetViews>
    <sheetView workbookViewId="0">
      <selection activeCell="G17" sqref="G17"/>
    </sheetView>
  </sheetViews>
  <sheetFormatPr defaultRowHeight="13.2"/>
  <cols>
    <col min="1" max="1" width="13.33203125" customWidth="1"/>
  </cols>
  <sheetData>
    <row r="1" spans="1:2">
      <c r="A1" s="67" t="s">
        <v>463</v>
      </c>
    </row>
    <row r="2" spans="1:2">
      <c r="A2" s="67" t="s">
        <v>471</v>
      </c>
      <c r="B2" s="67" t="s">
        <v>472</v>
      </c>
    </row>
    <row r="3" spans="1:2">
      <c r="A3" s="67" t="s">
        <v>464</v>
      </c>
      <c r="B3">
        <v>6</v>
      </c>
    </row>
    <row r="4" spans="1:2">
      <c r="A4" s="67" t="s">
        <v>465</v>
      </c>
      <c r="B4">
        <v>1</v>
      </c>
    </row>
    <row r="5" spans="1:2">
      <c r="A5" s="67" t="s">
        <v>466</v>
      </c>
      <c r="B5">
        <v>3</v>
      </c>
    </row>
    <row r="6" spans="1:2">
      <c r="A6" s="67" t="s">
        <v>467</v>
      </c>
      <c r="B6">
        <v>1</v>
      </c>
    </row>
    <row r="7" spans="1:2">
      <c r="A7" s="67" t="s">
        <v>468</v>
      </c>
      <c r="B7">
        <v>4</v>
      </c>
    </row>
    <row r="8" spans="1:2">
      <c r="A8" s="67" t="s">
        <v>469</v>
      </c>
      <c r="B8">
        <v>2</v>
      </c>
    </row>
    <row r="9" spans="1:2">
      <c r="A9" s="67" t="s">
        <v>470</v>
      </c>
      <c r="B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Summary</vt:lpstr>
      <vt:lpstr>IOTable</vt:lpstr>
      <vt:lpstr>Price Table</vt:lpstr>
      <vt:lpstr>PB</vt:lpstr>
      <vt:lpstr>SB</vt:lpstr>
      <vt:lpstr>CF</vt:lpstr>
      <vt:lpstr>Produksi</vt:lpstr>
      <vt:lpstr>Data Dasar</vt:lpstr>
      <vt:lpstr>PAM</vt:lpstr>
      <vt:lpstr>Labor</vt:lpstr>
      <vt:lpstr>Parity</vt:lpstr>
      <vt:lpstr>heavy machine</vt:lpstr>
      <vt:lpstr>CF!Print_Area</vt:lpstr>
      <vt:lpstr>'Data Dasar'!Print_Area</vt:lpstr>
      <vt:lpstr>IOTable!Print_Area</vt:lpstr>
      <vt:lpstr>Labor!Print_Area</vt:lpstr>
      <vt:lpstr>PAM!Print_Area</vt:lpstr>
      <vt:lpstr>'Price Table'!Print_Area</vt:lpstr>
      <vt:lpstr>CF!Print_Titles</vt:lpstr>
      <vt:lpstr>IOTable!Print_Titles</vt:lpstr>
      <vt:lpstr>Labor!Print_Titles</vt:lpstr>
      <vt:lpstr>'Price Table'!Print_Titles</vt:lpstr>
    </vt:vector>
  </TitlesOfParts>
  <Company>HARCO 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 MICOMS COMPUTER</dc:creator>
  <cp:lastModifiedBy>msofiyuddin</cp:lastModifiedBy>
  <cp:lastPrinted>1998-06-15T07:56:10Z</cp:lastPrinted>
  <dcterms:created xsi:type="dcterms:W3CDTF">1997-12-05T00:56:43Z</dcterms:created>
  <dcterms:modified xsi:type="dcterms:W3CDTF">2013-12-12T09:53:39Z</dcterms:modified>
</cp:coreProperties>
</file>